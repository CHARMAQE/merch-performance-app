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 Center" sheetId="1" state="visible" r:id="rId1"/>
    <sheet name="Tasks" sheetId="2" state="visible" r:id="rId2"/>
    <sheet name="Daily Board" sheetId="3" state="visible" r:id="rId3"/>
    <sheet name="Weekly Plan" sheetId="4" state="visible" r:id="rId4"/>
    <sheet name="School Requirements" sheetId="5" state="visible" r:id="rId5"/>
    <sheet name="OSA Prediction" sheetId="6" state="visible" r:id="rId6"/>
    <sheet name="Jury Q&amp;A" sheetId="7" state="visible" r:id="rId7"/>
    <sheet name="Evidence" sheetId="8" state="visible" r:id="rId8"/>
    <sheet name="Report Plan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11827"/>
      <sz val="11"/>
    </font>
    <font>
      <b val="1"/>
      <color rgb="00FFFFFF"/>
    </font>
    <font>
      <name val="Calibri"/>
      <color rgb="00111827"/>
      <sz val="10"/>
    </font>
    <font>
      <name val="Segoe UI"/>
      <color rgb="00111827"/>
      <sz val="10"/>
    </font>
    <font>
      <name val="Segoe UI"/>
      <b val="1"/>
      <color rgb="00FFFFFF"/>
      <sz val="18"/>
    </font>
    <font>
      <name val="Segoe UI"/>
      <b val="1"/>
      <color rgb="00FFFFFF"/>
      <sz val="10"/>
    </font>
    <font>
      <name val="Segoe UI"/>
      <b val="1"/>
      <color rgb="00FFFFFF"/>
      <sz val="22"/>
    </font>
    <font>
      <name val="Segoe UI"/>
      <b val="1"/>
      <color rgb="00111827"/>
      <sz val="14"/>
    </font>
    <font>
      <name val="Segoe U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070766"/>
      </patternFill>
    </fill>
    <fill>
      <patternFill patternType="solid">
        <fgColor rgb="00F3F4F6"/>
      </patternFill>
    </fill>
    <fill>
      <patternFill patternType="solid">
        <fgColor rgb="00E8EEFF"/>
      </patternFill>
    </fill>
    <fill>
      <patternFill patternType="solid">
        <fgColor rgb="0011115E"/>
      </patternFill>
    </fill>
    <fill>
      <patternFill patternType="solid">
        <fgColor rgb="00EAF0FF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E2E2"/>
      </patternFill>
    </fill>
  </fills>
  <borders count="1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7DAE8"/>
      </left>
      <right style="thin">
        <color rgb="00D7DAE8"/>
      </right>
      <top style="thin">
        <color rgb="00D7DAE8"/>
      </top>
      <bottom style="thin">
        <color rgb="00D7DAE8"/>
      </bottom>
    </border>
    <border>
      <left/>
      <right/>
      <top style="thin">
        <color rgb="00D7DAE8"/>
      </top>
      <bottom/>
      <diagonal/>
    </border>
    <border>
      <left/>
      <right style="thin">
        <color rgb="00D7DAE8"/>
      </right>
      <top style="thin">
        <color rgb="00D7DAE8"/>
      </top>
      <bottom/>
      <diagonal/>
    </border>
    <border>
      <left/>
      <right/>
      <top style="thin">
        <color rgb="00D7DAE8"/>
      </top>
      <bottom style="thin">
        <color rgb="00D7DAE8"/>
      </bottom>
      <diagonal/>
    </border>
    <border>
      <left/>
      <right style="thin">
        <color rgb="00D7DAE8"/>
      </right>
      <top style="thin">
        <color rgb="00D7DAE8"/>
      </top>
      <bottom style="thin">
        <color rgb="00D7DAE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9" fillId="6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5" borderId="0" pivotButton="0" quotePrefix="0" xfId="0"/>
    <xf numFmtId="0" fontId="0" fillId="6" borderId="0" applyAlignment="1" pivotButton="0" quotePrefix="0" xfId="0">
      <alignment vertical="center" wrapText="1"/>
    </xf>
    <xf numFmtId="0" fontId="7" fillId="5" borderId="0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3" borderId="11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vertical="top" wrapText="1"/>
    </xf>
    <xf numFmtId="164" fontId="7" fillId="5" borderId="1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6" fillId="2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7" fillId="5" borderId="11" applyAlignment="1" pivotButton="0" quotePrefix="0" xfId="0">
      <alignment vertical="top" wrapText="1"/>
    </xf>
    <xf numFmtId="164" fontId="7" fillId="5" borderId="1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3E8FF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FED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Status</a:t>
            </a:r>
          </a:p>
        </rich>
      </tx>
    </title>
    <plotArea>
      <doughnutChart>
        <varyColors val="1"/>
        <ser>
          <idx val="0"/>
          <order val="0"/>
          <tx>
            <strRef>
              <f>'Command Center'!B13</f>
            </strRef>
          </tx>
          <spPr>
            <a:ln>
              <a:prstDash val="solid"/>
            </a:ln>
          </spPr>
          <cat>
            <numRef>
              <f>'Command Center'!$A$14:$A$19</f>
            </numRef>
          </cat>
          <val>
            <numRef>
              <f>'Command Center'!$B$14:$B$19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sksTable" displayName="TasksTable" ref="A3:L37" headerRowCount="1">
  <autoFilter ref="A3:J38"/>
  <tableColumns count="10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BoardTable" displayName="DailyBoardTable" ref="A3:J44" headerRowCount="1">
  <autoFilter ref="A3:H45"/>
  <tableColumns count="8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lyPlanTable" displayName="WeeklyPlanTable" ref="A3:F9" headerRowCount="1">
  <autoFilter ref="A3:F10"/>
  <tableColumns count="6">
    <tableColumn id="1" name="No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hoolRequirementsTable" displayName="SchoolRequirementsTable" ref="A3:I18" headerRowCount="1">
  <autoFilter ref="A3:E19"/>
  <tableColumns count="5">
    <tableColumn id="1" name="None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SAPredictionTable" displayName="OSAPredictionTable" ref="A3:I11" headerRowCount="1">
  <autoFilter ref="A3:F12"/>
  <tableColumns count="6">
    <tableColumn id="1" name="No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JuryQATable" displayName="JuryQATable" ref="A3:D11" headerRowCount="1">
  <autoFilter ref="A3:D12"/>
  <tableColumns count="4">
    <tableColumn id="1" name="None"/>
    <tableColumn id="2" name="None"/>
    <tableColumn id="3" name="None"/>
    <tableColumn id="4" name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idenceTable" displayName="EvidenceTable" ref="A3:I14" headerRowCount="1">
  <autoFilter ref="A3:F15"/>
  <tableColumns count="6">
    <tableColumn id="1" name="No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ortPlanTable" displayName="ReportPlanTable" ref="A3:I16" headerRowCount="1">
  <autoFilter ref="A3:F17"/>
  <tableColumns count="6">
    <tableColumn id="1" name="No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9" t="inlineStr">
        <is>
          <t>PFE Command Center</t>
        </is>
      </c>
    </row>
    <row r="2">
      <c r="A2" s="20" t="inlineStr">
        <is>
          <t>Merch Performance Analytics Platform | Daily tracking until 2026-06-20</t>
        </is>
      </c>
    </row>
    <row r="3" ht="28" customHeight="1"/>
    <row r="4">
      <c r="A4" s="21" t="inlineStr">
        <is>
          <t>Days Left
=DATE(2026,6,20)-TODAY()</t>
        </is>
      </c>
      <c r="C4" s="22" t="inlineStr">
        <is>
          <t>Total Tasks
=COUNTA(Tasks!A4:A500)</t>
        </is>
      </c>
      <c r="E4" s="23" t="inlineStr">
        <is>
          <t>Done
=COUNTIF(Tasks!F4:F500,"Done")</t>
        </is>
      </c>
      <c r="G4" s="24" t="inlineStr">
        <is>
          <t>Critical Open
=COUNTIFS(Tasks!G4:G500,"Critical",Tasks!F4:F500,"&lt;&gt;Done")</t>
        </is>
      </c>
      <c r="I4" s="25" t="inlineStr">
        <is>
          <t>Late Open
=COUNTIFS(Tasks!J4:J500,"Late",Tasks!F4:F500,"&lt;&gt;Done")</t>
        </is>
      </c>
    </row>
    <row r="5"/>
    <row r="6"/>
    <row r="8">
      <c r="A8" s="26" t="inlineStr">
        <is>
          <t>Today Focus</t>
        </is>
      </c>
    </row>
    <row r="9">
      <c r="A9" s="27" t="inlineStr">
        <is>
          <t>Use the Daily Board every morning: one technical task, one report task, one evidence/screenshot task. Update status with dropdowns and watch Deadline Health.</t>
        </is>
      </c>
    </row>
    <row r="10"/>
    <row r="11"/>
    <row r="13">
      <c r="A13" s="28" t="inlineStr">
        <is>
          <t>Status</t>
        </is>
      </c>
      <c r="B13" s="28" t="inlineStr">
        <is>
          <t>Count</t>
        </is>
      </c>
    </row>
    <row r="14">
      <c r="A14" t="inlineStr">
        <is>
          <t>Not started</t>
        </is>
      </c>
      <c r="B14">
        <f>COUNTIF(Tasks!F4:F500,"Not started")</f>
        <v/>
      </c>
    </row>
    <row r="15">
      <c r="A15" t="inlineStr">
        <is>
          <t>In progress</t>
        </is>
      </c>
      <c r="B15">
        <f>COUNTIF(Tasks!F4:F500,"In progress")</f>
        <v/>
      </c>
    </row>
    <row r="16">
      <c r="A16" t="inlineStr">
        <is>
          <t>To verify</t>
        </is>
      </c>
    </row>
    <row r="17"/>
    <row r="18"/>
    <row r="19">
      <c r="A19" t="inlineStr">
        <is>
          <t>Risk</t>
        </is>
      </c>
      <c r="B19">
        <f>COUNTIF(Tasks!F4:F500,"Risk")</f>
        <v/>
      </c>
    </row>
  </sheetData>
  <mergeCells count="11">
    <mergeCell ref="A1:H1"/>
    <mergeCell ref="A1:J1"/>
    <mergeCell ref="A9:J11"/>
    <mergeCell ref="A16:H18"/>
    <mergeCell ref="E4:F6"/>
    <mergeCell ref="I4:J6"/>
    <mergeCell ref="A2:H2"/>
    <mergeCell ref="A4:B6"/>
    <mergeCell ref="C4:D6"/>
    <mergeCell ref="A2:J2"/>
    <mergeCell ref="G4:H6"/>
  </mergeCells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42" customWidth="1" min="4" max="4"/>
    <col width="34" customWidth="1" min="5" max="5"/>
    <col width="16" customWidth="1" min="6" max="6"/>
    <col width="12" customWidth="1" min="7" max="7"/>
    <col width="14" customWidth="1" min="8" max="8"/>
    <col width="10" customWidth="1" min="9" max="9"/>
    <col width="16" customWidth="1" min="10" max="10"/>
    <col width="12" customWidth="1" min="11" max="11"/>
    <col width="36" customWidth="1" min="12" max="12"/>
  </cols>
  <sheetData>
    <row r="1" ht="34" customHeight="1">
      <c r="A1" s="29" t="inlineStr">
        <is>
          <t>MASTER CHECKLIST</t>
        </is>
      </c>
      <c r="B1" s="30" t="n"/>
      <c r="C1" s="30" t="n"/>
      <c r="D1" s="30" t="n"/>
      <c r="E1" s="30" t="n"/>
      <c r="F1" s="30" t="n"/>
      <c r="G1" s="30" t="n"/>
      <c r="H1" s="31" t="n"/>
      <c r="I1" s="30" t="n"/>
      <c r="J1" s="31" t="n"/>
      <c r="K1" s="30" t="n"/>
      <c r="L1" s="31" t="n"/>
    </row>
    <row r="2">
      <c r="A2" s="32" t="inlineStr">
        <is>
          <t>Track every technical, analytics, report, and defense task here</t>
        </is>
      </c>
      <c r="B2" s="30" t="n"/>
      <c r="C2" s="30" t="n"/>
      <c r="D2" s="30" t="n"/>
      <c r="E2" s="30" t="n"/>
      <c r="F2" s="30" t="n"/>
      <c r="G2" s="30" t="n"/>
      <c r="H2" s="31" t="n"/>
      <c r="K2" s="33" t="n"/>
      <c r="L2" s="33" t="n"/>
    </row>
    <row r="3" ht="28" customHeight="1">
      <c r="A3" s="34" t="inlineStr">
        <is>
          <t>ID</t>
        </is>
      </c>
      <c r="B3" s="34" t="inlineStr">
        <is>
          <t>Workstream</t>
        </is>
      </c>
      <c r="C3" s="34" t="inlineStr">
        <is>
          <t>Task</t>
        </is>
      </c>
      <c r="D3" s="34" t="inlineStr">
        <is>
          <t>Why it matters</t>
        </is>
      </c>
      <c r="E3" s="34" t="inlineStr">
        <is>
          <t>Deliverable/Evidence</t>
        </is>
      </c>
      <c r="F3" s="34" t="inlineStr">
        <is>
          <t>Status</t>
        </is>
      </c>
      <c r="G3" s="34" t="inlineStr">
        <is>
          <t>Priority</t>
        </is>
      </c>
      <c r="H3" s="34" t="inlineStr">
        <is>
          <t>Deadline</t>
        </is>
      </c>
      <c r="I3" t="inlineStr">
        <is>
          <t>Days Left</t>
        </is>
      </c>
      <c r="J3" t="inlineStr">
        <is>
          <t>Deadline Health</t>
        </is>
      </c>
      <c r="K3" s="34" t="inlineStr">
        <is>
          <t>Owner</t>
        </is>
      </c>
      <c r="L3" s="34" t="inlineStr">
        <is>
          <t>Notes</t>
        </is>
      </c>
    </row>
    <row r="4">
      <c r="A4" s="33" t="inlineStr">
        <is>
          <t>T001</t>
        </is>
      </c>
      <c r="B4" s="33" t="inlineStr">
        <is>
          <t>Scope &amp; Story</t>
        </is>
      </c>
      <c r="C4" s="33" t="inlineStr">
        <is>
          <t>Confirm final PFE title</t>
        </is>
      </c>
      <c r="D4" s="33" t="inlineStr">
        <is>
          <t>Needed for cover page and report consistency</t>
        </is>
      </c>
      <c r="E4" s="33" t="inlineStr">
        <is>
          <t>Final French and English title</t>
        </is>
      </c>
      <c r="F4" s="33" t="inlineStr">
        <is>
          <t>Not started</t>
        </is>
      </c>
      <c r="G4" s="33" t="inlineStr">
        <is>
          <t>Critical</t>
        </is>
      </c>
      <c r="H4" s="35" t="n">
        <v>46155</v>
      </c>
      <c r="I4">
        <f>IF(H4="","",H4-TODAY())</f>
        <v/>
      </c>
      <c r="J4">
        <f>IF(F4="Done","Done",IF(H4="","No date",IF(H4&lt;TODAY(),"Late",IF(H4-TODAY()&lt;=3,"Urgent",IF(H4-TODAY()&lt;=7,"This week","Upcoming")))))</f>
        <v/>
      </c>
      <c r="K4" s="33" t="inlineStr">
        <is>
          <t>Hamza</t>
        </is>
      </c>
      <c r="L4" s="33" t="inlineStr"/>
    </row>
    <row r="5">
      <c r="A5" s="33" t="inlineStr">
        <is>
          <t>T002</t>
        </is>
      </c>
      <c r="B5" s="33" t="inlineStr">
        <is>
          <t>Scope &amp; Story</t>
        </is>
      </c>
      <c r="C5" s="33" t="inlineStr">
        <is>
          <t>Freeze final PFE scope</t>
        </is>
      </c>
      <c r="D5" s="33" t="inlineStr">
        <is>
          <t>Avoid too many late features</t>
        </is>
      </c>
      <c r="E5" s="33" t="inlineStr">
        <is>
          <t>Confirmed scope: ETL/backend/web/mobile/OSA prediction MVP</t>
        </is>
      </c>
      <c r="F5" s="33" t="inlineStr">
        <is>
          <t>Not started</t>
        </is>
      </c>
      <c r="G5" s="33" t="inlineStr">
        <is>
          <t>Critical</t>
        </is>
      </c>
      <c r="H5" s="35" t="n">
        <v>46156</v>
      </c>
      <c r="I5">
        <f>IF(H5="","",H5-TODAY())</f>
        <v/>
      </c>
      <c r="J5">
        <f>IF(F5="Done","Done",IF(H5="","No date",IF(H5&lt;TODAY(),"Late",IF(H5-TODAY()&lt;=3,"Urgent",IF(H5-TODAY()&lt;=7,"This week","Upcoming")))))</f>
        <v/>
      </c>
      <c r="K5" s="33" t="inlineStr">
        <is>
          <t>Hamza</t>
        </is>
      </c>
      <c r="L5" s="33" t="inlineStr"/>
    </row>
    <row r="6">
      <c r="A6" s="33" t="inlineStr">
        <is>
          <t>T003</t>
        </is>
      </c>
      <c r="B6" s="33" t="inlineStr">
        <is>
          <t>Mobile App</t>
        </is>
      </c>
      <c r="C6" s="33" t="inlineStr">
        <is>
          <t>Finish mobile dashboard KPI definitions</t>
        </is>
      </c>
      <c r="D6" s="33" t="inlineStr">
        <is>
          <t>Mobile replaces daily report</t>
        </is>
      </c>
      <c r="E6" s="33" t="inlineStr">
        <is>
          <t>KPI definition table + screenshot</t>
        </is>
      </c>
      <c r="F6" s="33" t="inlineStr">
        <is>
          <t>In progress</t>
        </is>
      </c>
      <c r="G6" s="33" t="inlineStr">
        <is>
          <t>Critical</t>
        </is>
      </c>
      <c r="H6" s="35" t="n">
        <v>46157</v>
      </c>
      <c r="I6">
        <f>IF(H6="","",H6-TODAY())</f>
        <v/>
      </c>
      <c r="J6">
        <f>IF(F6="Done","Done",IF(H6="","No date",IF(H6&lt;TODAY(),"Late",IF(H6-TODAY()&lt;=3,"Urgent",IF(H6-TODAY()&lt;=7,"This week","Upcoming")))))</f>
        <v/>
      </c>
      <c r="K6" s="33" t="inlineStr">
        <is>
          <t>Hamza</t>
        </is>
      </c>
      <c r="L6" s="33" t="inlineStr"/>
    </row>
    <row r="7">
      <c r="A7" s="33" t="inlineStr">
        <is>
          <t>T004</t>
        </is>
      </c>
      <c r="B7" s="33" t="inlineStr">
        <is>
          <t>Mobile App</t>
        </is>
      </c>
      <c r="C7" s="33" t="inlineStr">
        <is>
          <t>Verify admin/supervisor login and logout</t>
        </is>
      </c>
      <c r="D7" s="33" t="inlineStr">
        <is>
          <t>Needed for demo account switching</t>
        </is>
      </c>
      <c r="E7" s="33" t="inlineStr">
        <is>
          <t>Admin and casa_sup tested on mobile</t>
        </is>
      </c>
      <c r="F7" s="33" t="inlineStr">
        <is>
          <t>In progress</t>
        </is>
      </c>
      <c r="G7" s="33" t="inlineStr">
        <is>
          <t>High</t>
        </is>
      </c>
      <c r="H7" s="35" t="n">
        <v>46156</v>
      </c>
      <c r="I7">
        <f>IF(H7="","",H7-TODAY())</f>
        <v/>
      </c>
      <c r="J7">
        <f>IF(F7="Done","Done",IF(H7="","No date",IF(H7&lt;TODAY(),"Late",IF(H7-TODAY()&lt;=3,"Urgent",IF(H7-TODAY()&lt;=7,"This week","Upcoming")))))</f>
        <v/>
      </c>
      <c r="K7" s="33" t="inlineStr">
        <is>
          <t>Hamza</t>
        </is>
      </c>
      <c r="L7" s="33" t="inlineStr"/>
    </row>
    <row r="8">
      <c r="A8" s="33" t="inlineStr">
        <is>
          <t>T005</t>
        </is>
      </c>
      <c r="B8" s="33" t="inlineStr">
        <is>
          <t>Data Engineering</t>
        </is>
      </c>
      <c r="C8" s="33" t="inlineStr">
        <is>
          <t>Document Excel column mapping</t>
        </is>
      </c>
      <c r="D8" s="33" t="inlineStr">
        <is>
          <t>Shows data engineering work</t>
        </is>
      </c>
      <c r="E8" s="33" t="inlineStr">
        <is>
          <t>Mapping table in report</t>
        </is>
      </c>
      <c r="F8" s="33" t="inlineStr">
        <is>
          <t>In progress</t>
        </is>
      </c>
      <c r="G8" s="33" t="inlineStr">
        <is>
          <t>High</t>
        </is>
      </c>
      <c r="H8" s="35" t="n">
        <v>46156</v>
      </c>
      <c r="I8">
        <f>IF(H8="","",H8-TODAY())</f>
        <v/>
      </c>
      <c r="J8">
        <f>IF(F8="Done","Done",IF(H8="","No date",IF(H8&lt;TODAY(),"Late",IF(H8-TODAY()&lt;=3,"Urgent",IF(H8-TODAY()&lt;=7,"This week","Upcoming")))))</f>
        <v/>
      </c>
      <c r="K8" s="33" t="inlineStr">
        <is>
          <t>Hamza</t>
        </is>
      </c>
      <c r="L8" s="33" t="inlineStr"/>
    </row>
    <row r="9">
      <c r="A9" s="33" t="inlineStr">
        <is>
          <t>T006</t>
        </is>
      </c>
      <c r="B9" s="33" t="inlineStr">
        <is>
          <t>Data Engineering</t>
        </is>
      </c>
      <c r="C9" s="33" t="inlineStr">
        <is>
          <t>Document data cleaning logic</t>
        </is>
      </c>
      <c r="D9" s="33" t="inlineStr">
        <is>
          <t>Explains duplicate StoreCode and date parsing</t>
        </is>
      </c>
      <c r="E9" s="33" t="inlineStr">
        <is>
          <t>Cleaning explanation + code references</t>
        </is>
      </c>
      <c r="F9" s="33" t="inlineStr">
        <is>
          <t>In progress</t>
        </is>
      </c>
      <c r="G9" s="33" t="inlineStr">
        <is>
          <t>High</t>
        </is>
      </c>
      <c r="H9" s="35" t="n">
        <v>46156</v>
      </c>
      <c r="I9">
        <f>IF(H9="","",H9-TODAY())</f>
        <v/>
      </c>
      <c r="J9">
        <f>IF(F9="Done","Done",IF(H9="","No date",IF(H9&lt;TODAY(),"Late",IF(H9-TODAY()&lt;=3,"Urgent",IF(H9-TODAY()&lt;=7,"This week","Upcoming")))))</f>
        <v/>
      </c>
      <c r="K9" s="33" t="inlineStr">
        <is>
          <t>Hamza</t>
        </is>
      </c>
      <c r="L9" s="33" t="inlineStr"/>
    </row>
    <row r="10">
      <c r="A10" s="33" t="inlineStr">
        <is>
          <t>T007</t>
        </is>
      </c>
      <c r="B10" s="33" t="inlineStr">
        <is>
          <t>Database</t>
        </is>
      </c>
      <c r="C10" s="33" t="inlineStr">
        <is>
          <t>Prepare ER diagram</t>
        </is>
      </c>
      <c r="D10" s="33" t="inlineStr">
        <is>
          <t>Visual proof of relational modeling</t>
        </is>
      </c>
      <c r="E10" s="33" t="inlineStr">
        <is>
          <t>ER diagram PNG</t>
        </is>
      </c>
      <c r="F10" s="33" t="inlineStr">
        <is>
          <t>Not started</t>
        </is>
      </c>
      <c r="G10" s="33" t="inlineStr">
        <is>
          <t>High</t>
        </is>
      </c>
      <c r="H10" s="35" t="n">
        <v>46160</v>
      </c>
      <c r="I10">
        <f>IF(H10="","",H10-TODAY())</f>
        <v/>
      </c>
      <c r="J10">
        <f>IF(F10="Done","Done",IF(H10="","No date",IF(H10&lt;TODAY(),"Late",IF(H10-TODAY()&lt;=3,"Urgent",IF(H10-TODAY()&lt;=7,"This week","Upcoming")))))</f>
        <v/>
      </c>
      <c r="K10" s="33" t="inlineStr">
        <is>
          <t>Hamza</t>
        </is>
      </c>
      <c r="L10" s="33" t="inlineStr"/>
    </row>
    <row r="11">
      <c r="A11" s="33" t="inlineStr">
        <is>
          <t>T008</t>
        </is>
      </c>
      <c r="B11" s="33" t="inlineStr">
        <is>
          <t>Database</t>
        </is>
      </c>
      <c r="C11" s="33" t="inlineStr">
        <is>
          <t>Create KPI definition SQL file</t>
        </is>
      </c>
      <c r="D11" s="33" t="inlineStr">
        <is>
          <t>Avoid confusion in jury questions</t>
        </is>
      </c>
      <c r="E11" s="33" t="inlineStr">
        <is>
          <t>SQL checks for stores/visits/merchandisers</t>
        </is>
      </c>
      <c r="F11" s="33" t="inlineStr">
        <is>
          <t>In progress</t>
        </is>
      </c>
      <c r="G11" s="33" t="inlineStr">
        <is>
          <t>High</t>
        </is>
      </c>
      <c r="H11" s="35" t="n">
        <v>46160</v>
      </c>
      <c r="I11">
        <f>IF(H11="","",H11-TODAY())</f>
        <v/>
      </c>
      <c r="J11">
        <f>IF(F11="Done","Done",IF(H11="","No date",IF(H11&lt;TODAY(),"Late",IF(H11-TODAY()&lt;=3,"Urgent",IF(H11-TODAY()&lt;=7,"This week","Upcoming")))))</f>
        <v/>
      </c>
      <c r="K11" s="33" t="inlineStr">
        <is>
          <t>Hamza</t>
        </is>
      </c>
      <c r="L11" s="33" t="inlineStr"/>
    </row>
    <row r="12">
      <c r="A12" s="33" t="inlineStr">
        <is>
          <t>T009</t>
        </is>
      </c>
      <c r="B12" s="33" t="inlineStr">
        <is>
          <t>Backend Spring Boot</t>
        </is>
      </c>
      <c r="C12" s="33" t="inlineStr">
        <is>
          <t>Add professional role handling</t>
        </is>
      </c>
      <c r="D12" s="33" t="inlineStr">
        <is>
          <t>Admin vs supervisor must be clean</t>
        </is>
      </c>
      <c r="E12" s="33" t="inlineStr">
        <is>
          <t>Role field or documented demo logic</t>
        </is>
      </c>
      <c r="F12" s="33" t="inlineStr">
        <is>
          <t>In progress</t>
        </is>
      </c>
      <c r="G12" s="33" t="inlineStr">
        <is>
          <t>High</t>
        </is>
      </c>
      <c r="H12" s="35" t="n">
        <v>46166</v>
      </c>
      <c r="I12">
        <f>IF(H12="","",H12-TODAY())</f>
        <v/>
      </c>
      <c r="J12">
        <f>IF(F12="Done","Done",IF(H12="","No date",IF(H12&lt;TODAY(),"Late",IF(H12-TODAY()&lt;=3,"Urgent",IF(H12-TODAY()&lt;=7,"This week","Upcoming")))))</f>
        <v/>
      </c>
      <c r="K12" s="33" t="inlineStr">
        <is>
          <t>Hamza</t>
        </is>
      </c>
      <c r="L12" s="33" t="inlineStr"/>
    </row>
    <row r="13">
      <c r="A13" s="33" t="inlineStr">
        <is>
          <t>T010</t>
        </is>
      </c>
      <c r="B13" s="33" t="inlineStr">
        <is>
          <t>Backend Spring Boot</t>
        </is>
      </c>
      <c r="C13" s="33" t="inlineStr">
        <is>
          <t>Improve login security</t>
        </is>
      </c>
      <c r="D13" s="33" t="inlineStr">
        <is>
          <t>Spring Boot master-level feature</t>
        </is>
      </c>
      <c r="E13" s="33" t="inlineStr">
        <is>
          <t>BCrypt password hashing; JWT only if time</t>
        </is>
      </c>
      <c r="F13" s="33" t="inlineStr">
        <is>
          <t>Not started</t>
        </is>
      </c>
      <c r="G13" s="33" t="inlineStr">
        <is>
          <t>High</t>
        </is>
      </c>
      <c r="H13" s="35" t="n">
        <v>46166</v>
      </c>
      <c r="I13">
        <f>IF(H13="","",H13-TODAY())</f>
        <v/>
      </c>
      <c r="J13">
        <f>IF(F13="Done","Done",IF(H13="","No date",IF(H13&lt;TODAY(),"Late",IF(H13-TODAY()&lt;=3,"Urgent",IF(H13-TODAY()&lt;=7,"This week","Upcoming")))))</f>
        <v/>
      </c>
      <c r="K13" s="33" t="inlineStr">
        <is>
          <t>Hamza</t>
        </is>
      </c>
      <c r="L13" s="33" t="inlineStr"/>
    </row>
    <row r="14">
      <c r="A14" s="33" t="inlineStr">
        <is>
          <t>T011</t>
        </is>
      </c>
      <c r="B14" s="33" t="inlineStr">
        <is>
          <t>Backend Spring Boot</t>
        </is>
      </c>
      <c r="C14" s="33" t="inlineStr">
        <is>
          <t>Add validation filtering endpoint</t>
        </is>
      </c>
      <c r="D14" s="33" t="inlineStr">
        <is>
          <t>Web needs analytical filters</t>
        </is>
      </c>
      <c r="E14" s="33" t="inlineStr">
        <is>
          <t>Endpoint with date/rule/severity filters</t>
        </is>
      </c>
      <c r="F14" s="33" t="inlineStr">
        <is>
          <t>Not started</t>
        </is>
      </c>
      <c r="G14" s="33" t="inlineStr">
        <is>
          <t>High</t>
        </is>
      </c>
      <c r="H14" s="35" t="n">
        <v>46168</v>
      </c>
      <c r="I14">
        <f>IF(H14="","",H14-TODAY())</f>
        <v/>
      </c>
      <c r="J14">
        <f>IF(F14="Done","Done",IF(H14="","No date",IF(H14&lt;TODAY(),"Late",IF(H14-TODAY()&lt;=3,"Urgent",IF(H14-TODAY()&lt;=7,"This week","Upcoming")))))</f>
        <v/>
      </c>
      <c r="K14" s="33" t="inlineStr">
        <is>
          <t>Hamza</t>
        </is>
      </c>
      <c r="L14" s="33" t="inlineStr"/>
    </row>
    <row r="15">
      <c r="A15" s="33" t="inlineStr">
        <is>
          <t>T012</t>
        </is>
      </c>
      <c r="B15" s="33" t="inlineStr">
        <is>
          <t>Backend Spring Boot</t>
        </is>
      </c>
      <c r="C15" s="33" t="inlineStr">
        <is>
          <t>Add merch monitoring endpoint</t>
        </is>
      </c>
      <c r="D15" s="33" t="inlineStr">
        <is>
          <t>Core dashboard for field performance</t>
        </is>
      </c>
      <c r="E15" s="33" t="inlineStr">
        <is>
          <t>Merch table API</t>
        </is>
      </c>
      <c r="F15" s="33" t="inlineStr">
        <is>
          <t>Not started</t>
        </is>
      </c>
      <c r="G15" s="33" t="inlineStr">
        <is>
          <t>High</t>
        </is>
      </c>
      <c r="H15" s="35" t="n">
        <v>46169</v>
      </c>
      <c r="I15">
        <f>IF(H15="","",H15-TODAY())</f>
        <v/>
      </c>
      <c r="J15">
        <f>IF(F15="Done","Done",IF(H15="","No date",IF(H15&lt;TODAY(),"Late",IF(H15-TODAY()&lt;=3,"Urgent",IF(H15-TODAY()&lt;=7,"This week","Upcoming")))))</f>
        <v/>
      </c>
      <c r="K15" s="33" t="inlineStr">
        <is>
          <t>Hamza</t>
        </is>
      </c>
      <c r="L15" s="33" t="inlineStr"/>
    </row>
    <row r="16">
      <c r="A16" s="33" t="inlineStr">
        <is>
          <t>T013</t>
        </is>
      </c>
      <c r="B16" s="33" t="inlineStr">
        <is>
          <t>Web Dashboard</t>
        </is>
      </c>
      <c r="C16" s="33" t="inlineStr">
        <is>
          <t>Build validation issues table</t>
        </is>
      </c>
      <c r="D16" s="33" t="inlineStr">
        <is>
          <t>Web is the place for validation results</t>
        </is>
      </c>
      <c r="E16" s="33" t="inlineStr">
        <is>
          <t>Table with filters and details</t>
        </is>
      </c>
      <c r="F16" s="33" t="inlineStr">
        <is>
          <t>Not started</t>
        </is>
      </c>
      <c r="G16" s="33" t="inlineStr">
        <is>
          <t>Critical</t>
        </is>
      </c>
      <c r="H16" s="35" t="n">
        <v>46169</v>
      </c>
      <c r="I16">
        <f>IF(H16="","",H16-TODAY())</f>
        <v/>
      </c>
      <c r="J16">
        <f>IF(F16="Done","Done",IF(H16="","No date",IF(H16&lt;TODAY(),"Late",IF(H16-TODAY()&lt;=3,"Urgent",IF(H16-TODAY()&lt;=7,"This week","Upcoming")))))</f>
        <v/>
      </c>
      <c r="K16" s="33" t="inlineStr">
        <is>
          <t>Hamza</t>
        </is>
      </c>
      <c r="L16" s="33" t="inlineStr"/>
    </row>
    <row r="17">
      <c r="A17" s="33" t="inlineStr">
        <is>
          <t>T014</t>
        </is>
      </c>
      <c r="B17" s="33" t="inlineStr">
        <is>
          <t>Web Dashboard</t>
        </is>
      </c>
      <c r="C17" s="33" t="inlineStr">
        <is>
          <t>Build merchandiser monitoring view</t>
        </is>
      </c>
      <c r="D17" s="33" t="inlineStr">
        <is>
          <t>Matches internship/data analyst value</t>
        </is>
      </c>
      <c r="E17" s="33" t="inlineStr">
        <is>
          <t>Visits/stores/coverage by merchandiser</t>
        </is>
      </c>
      <c r="F17" s="33" t="inlineStr">
        <is>
          <t>Not started</t>
        </is>
      </c>
      <c r="G17" s="33" t="inlineStr">
        <is>
          <t>Critical</t>
        </is>
      </c>
      <c r="H17" s="35" t="n">
        <v>46174</v>
      </c>
      <c r="I17">
        <f>IF(H17="","",H17-TODAY())</f>
        <v/>
      </c>
      <c r="J17">
        <f>IF(F17="Done","Done",IF(H17="","No date",IF(H17&lt;TODAY(),"Late",IF(H17-TODAY()&lt;=3,"Urgent",IF(H17-TODAY()&lt;=7,"This week","Upcoming")))))</f>
        <v/>
      </c>
      <c r="K17" s="33" t="inlineStr">
        <is>
          <t>Hamza</t>
        </is>
      </c>
      <c r="L17" s="33" t="inlineStr"/>
    </row>
    <row r="18">
      <c r="A18" s="33" t="inlineStr">
        <is>
          <t>T015</t>
        </is>
      </c>
      <c r="B18" s="33" t="inlineStr">
        <is>
          <t>Web Dashboard</t>
        </is>
      </c>
      <c r="C18" s="33" t="inlineStr">
        <is>
          <t>Build store coverage view</t>
        </is>
      </c>
      <c r="D18" s="33" t="inlineStr">
        <is>
          <t>Shows operational monitoring</t>
        </is>
      </c>
      <c r="E18" s="33" t="inlineStr">
        <is>
          <t>Coverage by city/region/store</t>
        </is>
      </c>
      <c r="F18" s="33" t="inlineStr">
        <is>
          <t>Not started</t>
        </is>
      </c>
      <c r="G18" s="33" t="inlineStr">
        <is>
          <t>High</t>
        </is>
      </c>
      <c r="H18" s="35" t="n">
        <v>46175</v>
      </c>
      <c r="I18">
        <f>IF(H18="","",H18-TODAY())</f>
        <v/>
      </c>
      <c r="J18">
        <f>IF(F18="Done","Done",IF(H18="","No date",IF(H18&lt;TODAY(),"Late",IF(H18-TODAY()&lt;=3,"Urgent",IF(H18-TODAY()&lt;=7,"This week","Upcoming")))))</f>
        <v/>
      </c>
      <c r="K18" s="33" t="inlineStr">
        <is>
          <t>Hamza</t>
        </is>
      </c>
      <c r="L18" s="33" t="inlineStr"/>
    </row>
    <row r="19">
      <c r="A19" s="33" t="inlineStr">
        <is>
          <t>T016</t>
        </is>
      </c>
      <c r="B19" s="33" t="inlineStr">
        <is>
          <t>Web Dashboard</t>
        </is>
      </c>
      <c r="C19" s="33" t="inlineStr">
        <is>
          <t>Apply Smollan branding</t>
        </is>
      </c>
      <c r="D19" s="33" t="inlineStr">
        <is>
          <t>Professional visual identity</t>
        </is>
      </c>
      <c r="E19" s="33" t="inlineStr">
        <is>
          <t>Logo/colors polished in web UI</t>
        </is>
      </c>
      <c r="F19" s="33" t="inlineStr">
        <is>
          <t>Not started</t>
        </is>
      </c>
      <c r="G19" s="33" t="inlineStr">
        <is>
          <t>Medium</t>
        </is>
      </c>
      <c r="H19" s="35" t="n">
        <v>46178</v>
      </c>
      <c r="I19">
        <f>IF(H19="","",H19-TODAY())</f>
        <v/>
      </c>
      <c r="J19">
        <f>IF(F19="Done","Done",IF(H19="","No date",IF(H19&lt;TODAY(),"Late",IF(H19-TODAY()&lt;=3,"Urgent",IF(H19-TODAY()&lt;=7,"This week","Upcoming")))))</f>
        <v/>
      </c>
      <c r="K19" s="33" t="inlineStr">
        <is>
          <t>Hamza</t>
        </is>
      </c>
      <c r="L19" s="33" t="inlineStr"/>
    </row>
    <row r="20">
      <c r="A20" s="33" t="inlineStr">
        <is>
          <t>T017</t>
        </is>
      </c>
      <c r="B20" s="33" t="inlineStr">
        <is>
          <t>OSA Prediction</t>
        </is>
      </c>
      <c r="C20" s="33" t="inlineStr">
        <is>
          <t>Define OSA target variable</t>
        </is>
      </c>
      <c r="D20" s="33" t="inlineStr">
        <is>
          <t>Prediction cannot start without target</t>
        </is>
      </c>
      <c r="E20" s="33" t="inlineStr">
        <is>
          <t>Target definition: Oui/Non availability</t>
        </is>
      </c>
      <c r="F20" s="33" t="inlineStr">
        <is>
          <t>Not started</t>
        </is>
      </c>
      <c r="G20" s="33" t="inlineStr">
        <is>
          <t>Critical</t>
        </is>
      </c>
      <c r="H20" s="35" t="n">
        <v>46166</v>
      </c>
      <c r="I20">
        <f>IF(H20="","",H20-TODAY())</f>
        <v/>
      </c>
      <c r="J20">
        <f>IF(F20="Done","Done",IF(H20="","No date",IF(H20&lt;TODAY(),"Late",IF(H20-TODAY()&lt;=3,"Urgent",IF(H20-TODAY()&lt;=7,"This week","Upcoming")))))</f>
        <v/>
      </c>
      <c r="K20" s="33" t="inlineStr">
        <is>
          <t>Hamza</t>
        </is>
      </c>
      <c r="L20" s="33" t="inlineStr"/>
    </row>
    <row r="21">
      <c r="A21" s="33" t="inlineStr">
        <is>
          <t>T018</t>
        </is>
      </c>
      <c r="B21" s="33" t="inlineStr">
        <is>
          <t>OSA Prediction</t>
        </is>
      </c>
      <c r="C21" s="33" t="inlineStr">
        <is>
          <t>Build OSA training dataset</t>
        </is>
      </c>
      <c r="D21" s="33" t="inlineStr">
        <is>
          <t>ML dataset from survey_responses and visits</t>
        </is>
      </c>
      <c r="E21" s="33" t="inlineStr">
        <is>
          <t>Training CSV/table</t>
        </is>
      </c>
      <c r="F21" s="33" t="inlineStr">
        <is>
          <t>Not started</t>
        </is>
      </c>
      <c r="G21" s="33" t="inlineStr">
        <is>
          <t>Critical</t>
        </is>
      </c>
      <c r="H21" s="35" t="n">
        <v>46168</v>
      </c>
      <c r="I21">
        <f>IF(H21="","",H21-TODAY())</f>
        <v/>
      </c>
      <c r="J21">
        <f>IF(F21="Done","Done",IF(H21="","No date",IF(H21&lt;TODAY(),"Late",IF(H21-TODAY()&lt;=3,"Urgent",IF(H21-TODAY()&lt;=7,"This week","Upcoming")))))</f>
        <v/>
      </c>
      <c r="K21" s="33" t="inlineStr">
        <is>
          <t>Hamza</t>
        </is>
      </c>
      <c r="L21" s="33" t="inlineStr"/>
    </row>
    <row r="22">
      <c r="A22" s="33" t="inlineStr">
        <is>
          <t>T019</t>
        </is>
      </c>
      <c r="B22" s="33" t="inlineStr">
        <is>
          <t>OSA Prediction</t>
        </is>
      </c>
      <c r="C22" s="33" t="inlineStr">
        <is>
          <t>Train baseline OSA model</t>
        </is>
      </c>
      <c r="D22" s="33" t="inlineStr">
        <is>
          <t>Advanced analytics contribution</t>
        </is>
      </c>
      <c r="E22" s="33" t="inlineStr">
        <is>
          <t>Model metrics: accuracy, precision, recall, F1</t>
        </is>
      </c>
      <c r="F22" s="33" t="inlineStr">
        <is>
          <t>Not started</t>
        </is>
      </c>
      <c r="G22" s="33" t="inlineStr">
        <is>
          <t>Critical</t>
        </is>
      </c>
      <c r="H22" s="35" t="n">
        <v>46172</v>
      </c>
      <c r="I22">
        <f>IF(H22="","",H22-TODAY())</f>
        <v/>
      </c>
      <c r="J22">
        <f>IF(F22="Done","Done",IF(H22="","No date",IF(H22&lt;TODAY(),"Late",IF(H22-TODAY()&lt;=3,"Urgent",IF(H22-TODAY()&lt;=7,"This week","Upcoming")))))</f>
        <v/>
      </c>
      <c r="K22" s="33" t="inlineStr">
        <is>
          <t>Hamza</t>
        </is>
      </c>
      <c r="L22" s="33" t="inlineStr"/>
    </row>
    <row r="23">
      <c r="A23" s="33" t="inlineStr">
        <is>
          <t>T020</t>
        </is>
      </c>
      <c r="B23" s="33" t="inlineStr">
        <is>
          <t>OSA Prediction</t>
        </is>
      </c>
      <c r="C23" s="33" t="inlineStr">
        <is>
          <t>Expose OSA prediction results</t>
        </is>
      </c>
      <c r="D23" s="33" t="inlineStr">
        <is>
          <t>Prediction must appear in demo/report</t>
        </is>
      </c>
      <c r="E23" s="33" t="inlineStr">
        <is>
          <t>Backend endpoint + web table/card</t>
        </is>
      </c>
      <c r="F23" s="33" t="inlineStr">
        <is>
          <t>Not started</t>
        </is>
      </c>
      <c r="G23" s="33" t="inlineStr">
        <is>
          <t>High</t>
        </is>
      </c>
      <c r="H23" s="35" t="n">
        <v>46180</v>
      </c>
      <c r="I23">
        <f>IF(H23="","",H23-TODAY())</f>
        <v/>
      </c>
      <c r="J23">
        <f>IF(F23="Done","Done",IF(H23="","No date",IF(H23&lt;TODAY(),"Late",IF(H23-TODAY()&lt;=3,"Urgent",IF(H23-TODAY()&lt;=7,"This week","Upcoming")))))</f>
        <v/>
      </c>
      <c r="K23" s="33" t="inlineStr">
        <is>
          <t>Hamza</t>
        </is>
      </c>
      <c r="L23" s="33" t="inlineStr"/>
    </row>
    <row r="24">
      <c r="A24" s="33" t="inlineStr">
        <is>
          <t>T021</t>
        </is>
      </c>
      <c r="B24" s="33" t="inlineStr">
        <is>
          <t>Report Writing</t>
        </is>
      </c>
      <c r="C24" s="33" t="inlineStr">
        <is>
          <t>Write Introduction generale</t>
        </is>
      </c>
      <c r="D24" s="33" t="inlineStr">
        <is>
          <t>Required by school</t>
        </is>
      </c>
      <c r="E24" s="33" t="inlineStr">
        <is>
          <t>Max 4 pages draft</t>
        </is>
      </c>
      <c r="F24" s="33" t="inlineStr">
        <is>
          <t>Not started</t>
        </is>
      </c>
      <c r="G24" s="33" t="inlineStr">
        <is>
          <t>Critical</t>
        </is>
      </c>
      <c r="H24" s="35" t="n">
        <v>46172</v>
      </c>
      <c r="I24">
        <f>IF(H24="","",H24-TODAY())</f>
        <v/>
      </c>
      <c r="J24">
        <f>IF(F24="Done","Done",IF(H24="","No date",IF(H24&lt;TODAY(),"Late",IF(H24-TODAY()&lt;=3,"Urgent",IF(H24-TODAY()&lt;=7,"This week","Upcoming")))))</f>
        <v/>
      </c>
      <c r="K24" s="33" t="inlineStr">
        <is>
          <t>Hamza</t>
        </is>
      </c>
      <c r="L24" s="33" t="inlineStr"/>
    </row>
    <row r="25">
      <c r="A25" s="33" t="inlineStr">
        <is>
          <t>T022</t>
        </is>
      </c>
      <c r="B25" s="33" t="inlineStr">
        <is>
          <t>Report Writing</t>
        </is>
      </c>
      <c r="C25" s="33" t="inlineStr">
        <is>
          <t>Write context and existing analysis chapters</t>
        </is>
      </c>
      <c r="D25" s="33" t="inlineStr">
        <is>
          <t>Core report body</t>
        </is>
      </c>
      <c r="E25" s="33" t="inlineStr">
        <is>
          <t>Chapters 1 and 2 draft</t>
        </is>
      </c>
      <c r="F25" s="33" t="inlineStr">
        <is>
          <t>Not started</t>
        </is>
      </c>
      <c r="G25" s="33" t="inlineStr">
        <is>
          <t>Critical</t>
        </is>
      </c>
      <c r="H25" s="35" t="n">
        <v>46174</v>
      </c>
      <c r="I25">
        <f>IF(H25="","",H25-TODAY())</f>
        <v/>
      </c>
      <c r="J25">
        <f>IF(F25="Done","Done",IF(H25="","No date",IF(H25&lt;TODAY(),"Late",IF(H25-TODAY()&lt;=3,"Urgent",IF(H25-TODAY()&lt;=7,"This week","Upcoming")))))</f>
        <v/>
      </c>
      <c r="K25" s="33" t="inlineStr">
        <is>
          <t>Hamza</t>
        </is>
      </c>
      <c r="L25" s="33" t="inlineStr"/>
    </row>
    <row r="26">
      <c r="A26" s="33" t="inlineStr">
        <is>
          <t>T023</t>
        </is>
      </c>
      <c r="B26" s="33" t="inlineStr">
        <is>
          <t>Report Writing</t>
        </is>
      </c>
      <c r="C26" s="33" t="inlineStr">
        <is>
          <t>Write solution/conception chapters</t>
        </is>
      </c>
      <c r="D26" s="33" t="inlineStr">
        <is>
          <t>Explains architecture and design</t>
        </is>
      </c>
      <c r="E26" s="33" t="inlineStr">
        <is>
          <t>Chapters 3 and 4 draft</t>
        </is>
      </c>
      <c r="F26" s="33" t="inlineStr">
        <is>
          <t>Not started</t>
        </is>
      </c>
      <c r="G26" s="33" t="inlineStr">
        <is>
          <t>Critical</t>
        </is>
      </c>
      <c r="H26" s="35" t="n">
        <v>46176</v>
      </c>
      <c r="I26">
        <f>IF(H26="","",H26-TODAY())</f>
        <v/>
      </c>
      <c r="J26">
        <f>IF(F26="Done","Done",IF(H26="","No date",IF(H26&lt;TODAY(),"Late",IF(H26-TODAY()&lt;=3,"Urgent",IF(H26-TODAY()&lt;=7,"This week","Upcoming")))))</f>
        <v/>
      </c>
      <c r="K26" s="33" t="inlineStr">
        <is>
          <t>Hamza</t>
        </is>
      </c>
      <c r="L26" s="33" t="inlineStr"/>
    </row>
    <row r="27">
      <c r="A27" s="33" t="inlineStr">
        <is>
          <t>T024</t>
        </is>
      </c>
      <c r="B27" s="33" t="inlineStr">
        <is>
          <t>Report Writing</t>
        </is>
      </c>
      <c r="C27" s="33" t="inlineStr">
        <is>
          <t>Write realization/results chapters</t>
        </is>
      </c>
      <c r="D27" s="33" t="inlineStr">
        <is>
          <t>Shows implementation and value</t>
        </is>
      </c>
      <c r="E27" s="33" t="inlineStr">
        <is>
          <t>Chapters 5 and 6 draft</t>
        </is>
      </c>
      <c r="F27" s="33" t="inlineStr">
        <is>
          <t>Not started</t>
        </is>
      </c>
      <c r="G27" s="33" t="inlineStr">
        <is>
          <t>Critical</t>
        </is>
      </c>
      <c r="H27" s="35" t="n">
        <v>46180</v>
      </c>
      <c r="I27">
        <f>IF(H27="","",H27-TODAY())</f>
        <v/>
      </c>
      <c r="J27">
        <f>IF(F27="Done","Done",IF(H27="","No date",IF(H27&lt;TODAY(),"Late",IF(H27-TODAY()&lt;=3,"Urgent",IF(H27-TODAY()&lt;=7,"This week","Upcoming")))))</f>
        <v/>
      </c>
      <c r="K27" s="33" t="inlineStr">
        <is>
          <t>Hamza</t>
        </is>
      </c>
      <c r="L27" s="33" t="inlineStr"/>
    </row>
    <row r="28">
      <c r="A28" s="33" t="inlineStr">
        <is>
          <t>T025</t>
        </is>
      </c>
      <c r="B28" s="33" t="inlineStr">
        <is>
          <t>School Requirements</t>
        </is>
      </c>
      <c r="C28" s="33" t="inlineStr">
        <is>
          <t>Prepare official cover page</t>
        </is>
      </c>
      <c r="D28" s="33" t="inlineStr">
        <is>
          <t>Mandatory ENSAM format</t>
        </is>
      </c>
      <c r="E28" s="33" t="inlineStr">
        <is>
          <t>Filled Page de garde_BDIoT</t>
        </is>
      </c>
      <c r="F28" s="33" t="inlineStr">
        <is>
          <t>Not started</t>
        </is>
      </c>
      <c r="G28" s="33" t="inlineStr">
        <is>
          <t>Critical</t>
        </is>
      </c>
      <c r="H28" s="35" t="n">
        <v>46180</v>
      </c>
      <c r="I28">
        <f>IF(H28="","",H28-TODAY())</f>
        <v/>
      </c>
      <c r="J28">
        <f>IF(F28="Done","Done",IF(H28="","No date",IF(H28&lt;TODAY(),"Late",IF(H28-TODAY()&lt;=3,"Urgent",IF(H28-TODAY()&lt;=7,"This week","Upcoming")))))</f>
        <v/>
      </c>
      <c r="K28" s="33" t="inlineStr">
        <is>
          <t>Hamza</t>
        </is>
      </c>
      <c r="L28" s="33" t="inlineStr"/>
    </row>
    <row r="29">
      <c r="A29" s="33" t="inlineStr">
        <is>
          <t>T026</t>
        </is>
      </c>
      <c r="B29" s="33" t="inlineStr">
        <is>
          <t>School Requirements</t>
        </is>
      </c>
      <c r="C29" s="33" t="inlineStr">
        <is>
          <t>Write trilingual abstracts</t>
        </is>
      </c>
      <c r="D29" s="33" t="inlineStr">
        <is>
          <t>Mandatory school requirement</t>
        </is>
      </c>
      <c r="E29" s="33" t="inlineStr">
        <is>
          <t>Arabic/French/English abstracts under 100 words</t>
        </is>
      </c>
      <c r="F29" s="33" t="inlineStr">
        <is>
          <t>Not started</t>
        </is>
      </c>
      <c r="G29" s="33" t="inlineStr">
        <is>
          <t>High</t>
        </is>
      </c>
      <c r="H29" s="35" t="n">
        <v>46180</v>
      </c>
      <c r="I29">
        <f>IF(H29="","",H29-TODAY())</f>
        <v/>
      </c>
      <c r="J29">
        <f>IF(F29="Done","Done",IF(H29="","No date",IF(H29&lt;TODAY(),"Late",IF(H29-TODAY()&lt;=3,"Urgent",IF(H29-TODAY()&lt;=7,"This week","Upcoming")))))</f>
        <v/>
      </c>
      <c r="K29" s="33" t="inlineStr">
        <is>
          <t>Hamza</t>
        </is>
      </c>
      <c r="L29" s="33" t="inlineStr"/>
    </row>
    <row r="30">
      <c r="A30" s="33" t="inlineStr">
        <is>
          <t>T027</t>
        </is>
      </c>
      <c r="B30" s="33" t="inlineStr">
        <is>
          <t>School Requirements</t>
        </is>
      </c>
      <c r="C30" s="33" t="inlineStr">
        <is>
          <t>Format report</t>
        </is>
      </c>
      <c r="D30" s="33" t="inlineStr">
        <is>
          <t>Mandatory formatting rules</t>
        </is>
      </c>
      <c r="E30" s="33" t="inlineStr">
        <is>
          <t>Times New Roman, margins, captions, TOC</t>
        </is>
      </c>
      <c r="F30" s="33" t="inlineStr">
        <is>
          <t>Not started</t>
        </is>
      </c>
      <c r="G30" s="33" t="inlineStr">
        <is>
          <t>Critical</t>
        </is>
      </c>
      <c r="H30" s="35" t="n">
        <v>46181</v>
      </c>
      <c r="I30">
        <f>IF(H30="","",H30-TODAY())</f>
        <v/>
      </c>
      <c r="J30">
        <f>IF(F30="Done","Done",IF(H30="","No date",IF(H30&lt;TODAY(),"Late",IF(H30-TODAY()&lt;=3,"Urgent",IF(H30-TODAY()&lt;=7,"This week","Upcoming")))))</f>
        <v/>
      </c>
      <c r="K30" s="33" t="inlineStr">
        <is>
          <t>Hamza</t>
        </is>
      </c>
      <c r="L30" s="33" t="inlineStr"/>
    </row>
    <row r="31">
      <c r="A31" s="33" t="inlineStr">
        <is>
          <t>T028</t>
        </is>
      </c>
      <c r="B31" s="33" t="inlineStr">
        <is>
          <t>Diagrams &amp; Evidence</t>
        </is>
      </c>
      <c r="C31" s="33" t="inlineStr">
        <is>
          <t>Create architecture diagram</t>
        </is>
      </c>
      <c r="D31" s="33" t="inlineStr">
        <is>
          <t>Needed for report and defense</t>
        </is>
      </c>
      <c r="E31" s="33" t="inlineStr">
        <is>
          <t>Architecture PNG</t>
        </is>
      </c>
      <c r="F31" s="33" t="inlineStr">
        <is>
          <t>Not started</t>
        </is>
      </c>
      <c r="G31" s="33" t="inlineStr">
        <is>
          <t>High</t>
        </is>
      </c>
      <c r="H31" s="35" t="n">
        <v>46170</v>
      </c>
      <c r="I31">
        <f>IF(H31="","",H31-TODAY())</f>
        <v/>
      </c>
      <c r="J31">
        <f>IF(F31="Done","Done",IF(H31="","No date",IF(H31&lt;TODAY(),"Late",IF(H31-TODAY()&lt;=3,"Urgent",IF(H31-TODAY()&lt;=7,"This week","Upcoming")))))</f>
        <v/>
      </c>
      <c r="K31" s="33" t="inlineStr">
        <is>
          <t>Hamza</t>
        </is>
      </c>
      <c r="L31" s="33" t="inlineStr"/>
    </row>
    <row r="32">
      <c r="A32" s="33" t="inlineStr">
        <is>
          <t>T029</t>
        </is>
      </c>
      <c r="B32" s="33" t="inlineStr">
        <is>
          <t>Diagrams &amp; Evidence</t>
        </is>
      </c>
      <c r="C32" s="33" t="inlineStr">
        <is>
          <t>Create ETL flow diagram</t>
        </is>
      </c>
      <c r="D32" s="33" t="inlineStr">
        <is>
          <t>Shows Big Data pipeline</t>
        </is>
      </c>
      <c r="E32" s="33" t="inlineStr">
        <is>
          <t>ETL PNG</t>
        </is>
      </c>
      <c r="F32" s="33" t="inlineStr">
        <is>
          <t>Not started</t>
        </is>
      </c>
      <c r="G32" s="33" t="inlineStr">
        <is>
          <t>High</t>
        </is>
      </c>
      <c r="H32" s="35" t="n">
        <v>46170</v>
      </c>
      <c r="I32">
        <f>IF(H32="","",H32-TODAY())</f>
        <v/>
      </c>
      <c r="J32">
        <f>IF(F32="Done","Done",IF(H32="","No date",IF(H32&lt;TODAY(),"Late",IF(H32-TODAY()&lt;=3,"Urgent",IF(H32-TODAY()&lt;=7,"This week","Upcoming")))))</f>
        <v/>
      </c>
      <c r="K32" s="33" t="inlineStr">
        <is>
          <t>Hamza</t>
        </is>
      </c>
      <c r="L32" s="33" t="inlineStr"/>
    </row>
    <row r="33">
      <c r="A33" s="33" t="inlineStr">
        <is>
          <t>T030</t>
        </is>
      </c>
      <c r="B33" s="33" t="inlineStr">
        <is>
          <t>Diagrams &amp; Evidence</t>
        </is>
      </c>
      <c r="C33" s="33" t="inlineStr">
        <is>
          <t>Capture mobile screenshots</t>
        </is>
      </c>
      <c r="D33" s="33" t="inlineStr">
        <is>
          <t>Evidence for report</t>
        </is>
      </c>
      <c r="E33" s="33" t="inlineStr">
        <is>
          <t>Dashboard and map screenshots</t>
        </is>
      </c>
      <c r="F33" s="33" t="inlineStr">
        <is>
          <t>Not started</t>
        </is>
      </c>
      <c r="G33" s="33" t="inlineStr">
        <is>
          <t>High</t>
        </is>
      </c>
      <c r="H33" s="35" t="n">
        <v>46167</v>
      </c>
      <c r="I33">
        <f>IF(H33="","",H33-TODAY())</f>
        <v/>
      </c>
      <c r="J33">
        <f>IF(F33="Done","Done",IF(H33="","No date",IF(H33&lt;TODAY(),"Late",IF(H33-TODAY()&lt;=3,"Urgent",IF(H33-TODAY()&lt;=7,"This week","Upcoming")))))</f>
        <v/>
      </c>
      <c r="K33" s="33" t="inlineStr">
        <is>
          <t>Hamza</t>
        </is>
      </c>
      <c r="L33" s="33" t="inlineStr"/>
    </row>
    <row r="34">
      <c r="A34" s="33" t="inlineStr">
        <is>
          <t>T031</t>
        </is>
      </c>
      <c r="B34" s="33" t="inlineStr">
        <is>
          <t>Diagrams &amp; Evidence</t>
        </is>
      </c>
      <c r="C34" s="33" t="inlineStr">
        <is>
          <t>Capture web screenshots</t>
        </is>
      </c>
      <c r="D34" s="33" t="inlineStr">
        <is>
          <t>Evidence for report</t>
        </is>
      </c>
      <c r="E34" s="33" t="inlineStr">
        <is>
          <t>Dashboard, validation, monitoring screenshots</t>
        </is>
      </c>
      <c r="F34" s="33" t="inlineStr">
        <is>
          <t>Not started</t>
        </is>
      </c>
      <c r="G34" s="33" t="inlineStr">
        <is>
          <t>High</t>
        </is>
      </c>
      <c r="H34" s="35" t="n">
        <v>46179</v>
      </c>
      <c r="I34">
        <f>IF(H34="","",H34-TODAY())</f>
        <v/>
      </c>
      <c r="J34">
        <f>IF(F34="Done","Done",IF(H34="","No date",IF(H34&lt;TODAY(),"Late",IF(H34-TODAY()&lt;=3,"Urgent",IF(H34-TODAY()&lt;=7,"This week","Upcoming")))))</f>
        <v/>
      </c>
      <c r="K34" s="33" t="inlineStr">
        <is>
          <t>Hamza</t>
        </is>
      </c>
      <c r="L34" s="33" t="inlineStr"/>
    </row>
    <row r="35">
      <c r="A35" s="33" t="inlineStr">
        <is>
          <t>T032</t>
        </is>
      </c>
      <c r="B35" s="33" t="inlineStr">
        <is>
          <t>Defense Preparation</t>
        </is>
      </c>
      <c r="C35" s="33" t="inlineStr">
        <is>
          <t>Prepare demo script</t>
        </is>
      </c>
      <c r="D35" s="33" t="inlineStr">
        <is>
          <t>Avoid stress during defense</t>
        </is>
      </c>
      <c r="E35" s="33" t="inlineStr">
        <is>
          <t>Step-by-step demo guide</t>
        </is>
      </c>
      <c r="F35" s="33" t="inlineStr">
        <is>
          <t>Not started</t>
        </is>
      </c>
      <c r="G35" s="33" t="inlineStr">
        <is>
          <t>Critical</t>
        </is>
      </c>
      <c r="H35" s="35" t="n">
        <v>46187</v>
      </c>
      <c r="I35">
        <f>IF(H35="","",H35-TODAY())</f>
        <v/>
      </c>
      <c r="J35">
        <f>IF(F35="Done","Done",IF(H35="","No date",IF(H35&lt;TODAY(),"Late",IF(H35-TODAY()&lt;=3,"Urgent",IF(H35-TODAY()&lt;=7,"This week","Upcoming")))))</f>
        <v/>
      </c>
      <c r="K35" s="33" t="inlineStr">
        <is>
          <t>Hamza</t>
        </is>
      </c>
      <c r="L35" s="33" t="inlineStr"/>
    </row>
    <row r="36">
      <c r="A36" s="33" t="inlineStr">
        <is>
          <t>T033</t>
        </is>
      </c>
      <c r="B36" s="33" t="inlineStr">
        <is>
          <t>Defense Preparation</t>
        </is>
      </c>
      <c r="C36" s="33" t="inlineStr">
        <is>
          <t>Prepare jury Q&amp;A answers</t>
        </is>
      </c>
      <c r="D36" s="33" t="inlineStr">
        <is>
          <t>Be ready to defend choices</t>
        </is>
      </c>
      <c r="E36" s="33" t="inlineStr">
        <is>
          <t>Answers to 10 key questions</t>
        </is>
      </c>
      <c r="F36" s="33" t="inlineStr">
        <is>
          <t>Not started</t>
        </is>
      </c>
      <c r="G36" s="33" t="inlineStr">
        <is>
          <t>High</t>
        </is>
      </c>
      <c r="H36" s="35" t="n">
        <v>46189</v>
      </c>
      <c r="I36">
        <f>IF(H36="","",H36-TODAY())</f>
        <v/>
      </c>
      <c r="J36">
        <f>IF(F36="Done","Done",IF(H36="","No date",IF(H36&lt;TODAY(),"Late",IF(H36-TODAY()&lt;=3,"Urgent",IF(H36-TODAY()&lt;=7,"This week","Upcoming")))))</f>
        <v/>
      </c>
      <c r="K36" s="33" t="inlineStr">
        <is>
          <t>Hamza</t>
        </is>
      </c>
      <c r="L36" s="33" t="inlineStr"/>
    </row>
    <row r="37">
      <c r="A37" s="33" t="inlineStr">
        <is>
          <t>T034</t>
        </is>
      </c>
      <c r="B37" s="33" t="inlineStr">
        <is>
          <t>Defense Preparation</t>
        </is>
      </c>
      <c r="C37" s="33" t="inlineStr">
        <is>
          <t>Prepare final presentation</t>
        </is>
      </c>
      <c r="D37" s="33" t="inlineStr">
        <is>
          <t>Defense deliverable</t>
        </is>
      </c>
      <c r="E37" s="33" t="inlineStr">
        <is>
          <t>PPTX slides</t>
        </is>
      </c>
      <c r="F37" s="33" t="inlineStr">
        <is>
          <t>Not started</t>
        </is>
      </c>
      <c r="G37" s="33" t="inlineStr">
        <is>
          <t>Critical</t>
        </is>
      </c>
      <c r="H37" s="35" t="n">
        <v>46187</v>
      </c>
      <c r="I37">
        <f>IF(H37="","",H37-TODAY())</f>
        <v/>
      </c>
      <c r="J37">
        <f>IF(F37="Done","Done",IF(H37="","No date",IF(H37&lt;TODAY(),"Late",IF(H37-TODAY()&lt;=3,"Urgent",IF(H37-TODAY()&lt;=7,"This week","Upcoming")))))</f>
        <v/>
      </c>
      <c r="K37" s="33" t="inlineStr">
        <is>
          <t>Hamza</t>
        </is>
      </c>
      <c r="L37" s="33" t="inlineStr"/>
    </row>
  </sheetData>
  <mergeCells count="3">
    <mergeCell ref="A1:J1"/>
    <mergeCell ref="A2:H2"/>
    <mergeCell ref="A1:H1"/>
  </mergeCells>
  <conditionalFormatting sqref="A4:L500">
    <cfRule type="expression" priority="6" dxfId="0">
      <formula>=$F4="Done"</formula>
    </cfRule>
    <cfRule type="expression" priority="7" dxfId="4">
      <formula>=$F4="In progress"</formula>
    </cfRule>
    <cfRule type="expression" priority="8" dxfId="3">
      <formula>=$F4="To verify"</formula>
    </cfRule>
    <cfRule type="expression" priority="9" dxfId="2">
      <formula>=OR($F4="Blocked",$F4="Risk")</formula>
    </cfRule>
  </conditionalFormatting>
  <conditionalFormatting sqref="J4:J500">
    <cfRule type="expression" priority="10" dxfId="2">
      <formula>=$J4="Late"</formula>
    </cfRule>
    <cfRule type="expression" priority="11" dxfId="5">
      <formula>=$J4="Urgent"</formula>
    </cfRule>
    <cfRule type="expression" priority="12" dxfId="4">
      <formula>=$J4="This week"</formula>
    </cfRule>
    <cfRule type="expression" priority="13" dxfId="0">
      <formula>=$J4="Done"</formula>
    </cfRule>
  </conditionalFormatting>
  <dataValidations count="2">
    <dataValidation sqref="F4:F500" showDropDown="0" showInputMessage="0" showErrorMessage="0" allowBlank="1" type="list">
      <formula1>=Lists!$A$2:$A$7</formula1>
    </dataValidation>
    <dataValidation sqref="G4:G500" showDropDown="0" showInputMessage="0" showErrorMessage="0" allowBlank="1" type="list">
      <formula1>=Lists!$B$2:$B$5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2" customWidth="1" min="4" max="4"/>
    <col width="32" customWidth="1" min="5" max="5"/>
    <col width="32" customWidth="1" min="6" max="6"/>
    <col width="16" customWidth="1" min="7" max="7"/>
    <col width="12" customWidth="1" min="8" max="8"/>
    <col width="26" customWidth="1" min="9" max="9"/>
    <col width="38" customWidth="1" min="10" max="10"/>
  </cols>
  <sheetData>
    <row r="1" ht="34" customHeight="1">
      <c r="A1" s="29" t="inlineStr">
        <is>
          <t>DAILY BOARD</t>
        </is>
      </c>
      <c r="B1" s="30" t="n"/>
      <c r="C1" s="30" t="n"/>
      <c r="D1" s="30" t="n"/>
      <c r="E1" s="30" t="n"/>
      <c r="F1" s="30" t="n"/>
      <c r="G1" s="30" t="n"/>
      <c r="J1" s="31" t="n"/>
    </row>
    <row r="2">
      <c r="A2" s="32" t="inlineStr">
        <is>
          <t>Open this sheet every morning, choose tasks, and write progress notes</t>
        </is>
      </c>
      <c r="B2" s="30" t="n"/>
      <c r="C2" s="30" t="n"/>
      <c r="D2" s="30" t="n"/>
      <c r="E2" s="30" t="n"/>
      <c r="F2" s="30" t="n"/>
      <c r="G2" s="30" t="n"/>
      <c r="J2" s="31" t="n"/>
    </row>
    <row r="3" ht="28" customHeight="1">
      <c r="A3" s="36" t="inlineStr">
        <is>
          <t>Date</t>
        </is>
      </c>
      <c r="B3" s="34" t="inlineStr">
        <is>
          <t>Week</t>
        </is>
      </c>
      <c r="C3" s="34" t="inlineStr">
        <is>
          <t>Daily focus</t>
        </is>
      </c>
      <c r="D3" s="34" t="inlineStr">
        <is>
          <t>Technical task</t>
        </is>
      </c>
      <c r="E3" s="34" t="inlineStr">
        <is>
          <t>Report task</t>
        </is>
      </c>
      <c r="F3" s="34" t="inlineStr">
        <is>
          <t>Evidence task</t>
        </is>
      </c>
      <c r="G3" s="34" t="inlineStr">
        <is>
          <t>Status</t>
        </is>
      </c>
      <c r="H3" s="37" t="inlineStr">
        <is>
          <t>Energy</t>
        </is>
      </c>
      <c r="I3" s="37" t="inlineStr">
        <is>
          <t>Blocker</t>
        </is>
      </c>
      <c r="J3" s="34" t="inlineStr">
        <is>
          <t>Notes</t>
        </is>
      </c>
    </row>
    <row r="4">
      <c r="A4" s="35" t="n">
        <v>46153</v>
      </c>
      <c r="B4" s="33" t="inlineStr">
        <is>
          <t>Week 1</t>
        </is>
      </c>
      <c r="C4" s="33" t="inlineStr">
        <is>
          <t>Scope, mobile KPIs, ETL documentation</t>
        </is>
      </c>
      <c r="D4" s="33" t="inlineStr"/>
      <c r="E4" s="33" t="inlineStr"/>
      <c r="F4" s="33" t="inlineStr"/>
      <c r="G4" s="33" t="inlineStr">
        <is>
          <t>Not started</t>
        </is>
      </c>
      <c r="J4" s="33" t="inlineStr"/>
    </row>
    <row r="5">
      <c r="A5" s="35" t="n">
        <v>46154</v>
      </c>
      <c r="B5" s="33" t="inlineStr">
        <is>
          <t>Week 1</t>
        </is>
      </c>
      <c r="C5" s="33" t="inlineStr">
        <is>
          <t>Scope, mobile KPIs, ETL documentation</t>
        </is>
      </c>
      <c r="D5" s="33" t="inlineStr"/>
      <c r="E5" s="33" t="inlineStr"/>
      <c r="F5" s="33" t="inlineStr"/>
      <c r="G5" s="33" t="inlineStr">
        <is>
          <t>Not started</t>
        </is>
      </c>
      <c r="J5" s="33" t="inlineStr"/>
    </row>
    <row r="6">
      <c r="A6" s="35" t="n">
        <v>46155</v>
      </c>
      <c r="B6" s="33" t="inlineStr">
        <is>
          <t>Week 1</t>
        </is>
      </c>
      <c r="C6" s="33" t="inlineStr">
        <is>
          <t>Scope, mobile KPIs, ETL documentation</t>
        </is>
      </c>
      <c r="D6" s="33" t="inlineStr"/>
      <c r="E6" s="33" t="inlineStr"/>
      <c r="F6" s="33" t="inlineStr"/>
      <c r="G6" s="33" t="inlineStr">
        <is>
          <t>Not started</t>
        </is>
      </c>
      <c r="J6" s="33" t="inlineStr"/>
    </row>
    <row r="7">
      <c r="A7" s="35" t="n">
        <v>46156</v>
      </c>
      <c r="B7" s="33" t="inlineStr">
        <is>
          <t>Week 1</t>
        </is>
      </c>
      <c r="C7" s="33" t="inlineStr">
        <is>
          <t>Scope, mobile KPIs, ETL documentation</t>
        </is>
      </c>
      <c r="D7" s="33" t="inlineStr"/>
      <c r="E7" s="33" t="inlineStr"/>
      <c r="F7" s="33" t="inlineStr"/>
      <c r="G7" s="33" t="inlineStr">
        <is>
          <t>Not started</t>
        </is>
      </c>
      <c r="J7" s="33" t="inlineStr"/>
    </row>
    <row r="8">
      <c r="A8" s="35" t="n">
        <v>46157</v>
      </c>
      <c r="B8" s="33" t="inlineStr">
        <is>
          <t>Week 1</t>
        </is>
      </c>
      <c r="C8" s="33" t="inlineStr">
        <is>
          <t>Scope, mobile KPIs, ETL documentation</t>
        </is>
      </c>
      <c r="D8" s="33" t="inlineStr"/>
      <c r="E8" s="33" t="inlineStr"/>
      <c r="F8" s="33" t="inlineStr"/>
      <c r="G8" s="33" t="inlineStr">
        <is>
          <t>Not started</t>
        </is>
      </c>
      <c r="J8" s="33" t="inlineStr"/>
    </row>
    <row r="9">
      <c r="A9" s="35" t="n">
        <v>46158</v>
      </c>
      <c r="B9" s="33" t="inlineStr">
        <is>
          <t>Week 1</t>
        </is>
      </c>
      <c r="C9" s="33" t="inlineStr">
        <is>
          <t>Scope, mobile KPIs, ETL documentation</t>
        </is>
      </c>
      <c r="D9" s="33" t="inlineStr"/>
      <c r="E9" s="33" t="inlineStr"/>
      <c r="F9" s="33" t="inlineStr"/>
      <c r="G9" s="33" t="inlineStr">
        <is>
          <t>Not started</t>
        </is>
      </c>
      <c r="J9" s="33" t="inlineStr"/>
    </row>
    <row r="10">
      <c r="A10" s="35" t="n">
        <v>46159</v>
      </c>
      <c r="B10" s="33" t="inlineStr">
        <is>
          <t>Week 1</t>
        </is>
      </c>
      <c r="C10" s="33" t="inlineStr">
        <is>
          <t>Scope, mobile KPIs, ETL documentation</t>
        </is>
      </c>
      <c r="D10" s="33" t="inlineStr"/>
      <c r="E10" s="33" t="inlineStr"/>
      <c r="F10" s="33" t="inlineStr"/>
      <c r="G10" s="33" t="inlineStr">
        <is>
          <t>Not started</t>
        </is>
      </c>
      <c r="J10" s="33" t="inlineStr"/>
    </row>
    <row r="11">
      <c r="A11" s="35" t="n">
        <v>46160</v>
      </c>
      <c r="B11" s="33" t="inlineStr">
        <is>
          <t>Week 2</t>
        </is>
      </c>
      <c r="C11" s="33" t="inlineStr">
        <is>
          <t>Data model, backend, OSA dataset definition</t>
        </is>
      </c>
      <c r="D11" s="33" t="inlineStr"/>
      <c r="E11" s="33" t="inlineStr"/>
      <c r="F11" s="33" t="inlineStr"/>
      <c r="G11" s="33" t="inlineStr">
        <is>
          <t>Not started</t>
        </is>
      </c>
      <c r="J11" s="33" t="inlineStr"/>
    </row>
    <row r="12">
      <c r="A12" s="35" t="n">
        <v>46161</v>
      </c>
      <c r="B12" s="33" t="inlineStr">
        <is>
          <t>Week 2</t>
        </is>
      </c>
      <c r="C12" s="33" t="inlineStr">
        <is>
          <t>Data model, backend, OSA dataset definition</t>
        </is>
      </c>
      <c r="D12" s="33" t="inlineStr"/>
      <c r="E12" s="33" t="inlineStr"/>
      <c r="F12" s="33" t="inlineStr"/>
      <c r="G12" s="33" t="inlineStr">
        <is>
          <t>Not started</t>
        </is>
      </c>
      <c r="J12" s="33" t="inlineStr"/>
    </row>
    <row r="13">
      <c r="A13" s="35" t="n">
        <v>46162</v>
      </c>
      <c r="B13" s="33" t="inlineStr">
        <is>
          <t>Week 2</t>
        </is>
      </c>
      <c r="C13" s="33" t="inlineStr">
        <is>
          <t>Data model, backend, OSA dataset definition</t>
        </is>
      </c>
      <c r="D13" s="33" t="inlineStr"/>
      <c r="E13" s="33" t="inlineStr"/>
      <c r="F13" s="33" t="inlineStr"/>
      <c r="G13" s="33" t="inlineStr">
        <is>
          <t>Not started</t>
        </is>
      </c>
      <c r="J13" s="33" t="inlineStr"/>
    </row>
    <row r="14">
      <c r="A14" s="35" t="n">
        <v>46163</v>
      </c>
      <c r="B14" s="33" t="inlineStr">
        <is>
          <t>Week 2</t>
        </is>
      </c>
      <c r="C14" s="33" t="inlineStr">
        <is>
          <t>Data model, backend, OSA dataset definition</t>
        </is>
      </c>
      <c r="D14" s="33" t="inlineStr"/>
      <c r="E14" s="33" t="inlineStr"/>
      <c r="F14" s="33" t="inlineStr"/>
      <c r="G14" s="33" t="inlineStr">
        <is>
          <t>Not started</t>
        </is>
      </c>
      <c r="J14" s="33" t="inlineStr"/>
    </row>
    <row r="15">
      <c r="A15" s="35" t="n">
        <v>46164</v>
      </c>
      <c r="B15" s="33" t="inlineStr">
        <is>
          <t>Week 2</t>
        </is>
      </c>
      <c r="C15" s="33" t="inlineStr">
        <is>
          <t>Data model, backend, OSA dataset definition</t>
        </is>
      </c>
      <c r="D15" s="33" t="inlineStr"/>
      <c r="E15" s="33" t="inlineStr"/>
      <c r="F15" s="33" t="inlineStr"/>
      <c r="G15" s="33" t="inlineStr">
        <is>
          <t>Not started</t>
        </is>
      </c>
      <c r="J15" s="33" t="inlineStr"/>
    </row>
    <row r="16">
      <c r="A16" s="35" t="n">
        <v>46165</v>
      </c>
      <c r="B16" s="33" t="inlineStr">
        <is>
          <t>Week 2</t>
        </is>
      </c>
      <c r="C16" s="33" t="inlineStr">
        <is>
          <t>Data model, backend, OSA dataset definition</t>
        </is>
      </c>
      <c r="D16" s="33" t="inlineStr"/>
      <c r="E16" s="33" t="inlineStr"/>
      <c r="F16" s="33" t="inlineStr"/>
      <c r="G16" s="33" t="inlineStr">
        <is>
          <t>Not started</t>
        </is>
      </c>
      <c r="J16" s="33" t="inlineStr"/>
    </row>
    <row r="17">
      <c r="A17" s="35" t="n">
        <v>46166</v>
      </c>
      <c r="B17" s="33" t="inlineStr">
        <is>
          <t>Week 2</t>
        </is>
      </c>
      <c r="C17" s="33" t="inlineStr">
        <is>
          <t>Data model, backend, OSA dataset definition</t>
        </is>
      </c>
      <c r="D17" s="33" t="inlineStr"/>
      <c r="E17" s="33" t="inlineStr"/>
      <c r="F17" s="33" t="inlineStr"/>
      <c r="G17" s="33" t="inlineStr">
        <is>
          <t>Not started</t>
        </is>
      </c>
      <c r="J17" s="33" t="inlineStr"/>
    </row>
    <row r="18">
      <c r="A18" s="35" t="n">
        <v>46167</v>
      </c>
      <c r="B18" s="33" t="inlineStr">
        <is>
          <t>Week 3</t>
        </is>
      </c>
      <c r="C18" s="33" t="inlineStr">
        <is>
          <t>Web validation, merch monitoring, OSA baseline model</t>
        </is>
      </c>
      <c r="D18" s="33" t="inlineStr"/>
      <c r="E18" s="33" t="inlineStr"/>
      <c r="F18" s="33" t="inlineStr"/>
      <c r="G18" s="33" t="inlineStr">
        <is>
          <t>Not started</t>
        </is>
      </c>
      <c r="J18" s="33" t="inlineStr"/>
    </row>
    <row r="19">
      <c r="A19" s="35" t="n">
        <v>46168</v>
      </c>
      <c r="B19" s="33" t="inlineStr">
        <is>
          <t>Week 3</t>
        </is>
      </c>
      <c r="C19" s="33" t="inlineStr">
        <is>
          <t>Web validation, merch monitoring, OSA baseline model</t>
        </is>
      </c>
      <c r="D19" s="33" t="inlineStr"/>
      <c r="E19" s="33" t="inlineStr"/>
      <c r="F19" s="33" t="inlineStr"/>
      <c r="G19" s="33" t="inlineStr">
        <is>
          <t>Not started</t>
        </is>
      </c>
      <c r="J19" s="33" t="inlineStr"/>
    </row>
    <row r="20">
      <c r="A20" s="35" t="n">
        <v>46169</v>
      </c>
      <c r="B20" s="33" t="inlineStr">
        <is>
          <t>Week 3</t>
        </is>
      </c>
      <c r="C20" s="33" t="inlineStr">
        <is>
          <t>Web validation, merch monitoring, OSA baseline model</t>
        </is>
      </c>
      <c r="D20" s="33" t="inlineStr"/>
      <c r="E20" s="33" t="inlineStr"/>
      <c r="F20" s="33" t="inlineStr"/>
      <c r="G20" s="33" t="inlineStr">
        <is>
          <t>Not started</t>
        </is>
      </c>
      <c r="J20" s="33" t="inlineStr"/>
    </row>
    <row r="21">
      <c r="A21" s="35" t="n">
        <v>46170</v>
      </c>
      <c r="B21" s="33" t="inlineStr">
        <is>
          <t>Week 3</t>
        </is>
      </c>
      <c r="C21" s="33" t="inlineStr">
        <is>
          <t>Web validation, merch monitoring, OSA baseline model</t>
        </is>
      </c>
      <c r="D21" s="33" t="inlineStr"/>
      <c r="E21" s="33" t="inlineStr"/>
      <c r="F21" s="33" t="inlineStr"/>
      <c r="G21" s="33" t="inlineStr">
        <is>
          <t>Not started</t>
        </is>
      </c>
      <c r="J21" s="33" t="inlineStr"/>
    </row>
    <row r="22">
      <c r="A22" s="35" t="n">
        <v>46171</v>
      </c>
      <c r="B22" s="33" t="inlineStr">
        <is>
          <t>Week 3</t>
        </is>
      </c>
      <c r="C22" s="33" t="inlineStr">
        <is>
          <t>Web validation, merch monitoring, OSA baseline model</t>
        </is>
      </c>
      <c r="D22" s="33" t="inlineStr"/>
      <c r="E22" s="33" t="inlineStr"/>
      <c r="F22" s="33" t="inlineStr"/>
      <c r="G22" s="33" t="inlineStr">
        <is>
          <t>Not started</t>
        </is>
      </c>
      <c r="J22" s="33" t="inlineStr"/>
    </row>
    <row r="23">
      <c r="A23" s="35" t="n">
        <v>46172</v>
      </c>
      <c r="B23" s="33" t="inlineStr">
        <is>
          <t>Week 3</t>
        </is>
      </c>
      <c r="C23" s="33" t="inlineStr">
        <is>
          <t>Web validation, merch monitoring, OSA baseline model</t>
        </is>
      </c>
      <c r="D23" s="33" t="inlineStr"/>
      <c r="E23" s="33" t="inlineStr"/>
      <c r="F23" s="33" t="inlineStr"/>
      <c r="G23" s="33" t="inlineStr">
        <is>
          <t>Not started</t>
        </is>
      </c>
      <c r="J23" s="33" t="inlineStr"/>
    </row>
    <row r="24">
      <c r="A24" s="35" t="n">
        <v>46173</v>
      </c>
      <c r="B24" s="33" t="inlineStr">
        <is>
          <t>Week 3</t>
        </is>
      </c>
      <c r="C24" s="33" t="inlineStr">
        <is>
          <t>Web validation, merch monitoring, OSA baseline model</t>
        </is>
      </c>
      <c r="D24" s="33" t="inlineStr"/>
      <c r="E24" s="33" t="inlineStr"/>
      <c r="F24" s="33" t="inlineStr"/>
      <c r="G24" s="33" t="inlineStr">
        <is>
          <t>Not started</t>
        </is>
      </c>
      <c r="J24" s="33" t="inlineStr"/>
    </row>
    <row r="25">
      <c r="A25" s="35" t="n">
        <v>46174</v>
      </c>
      <c r="B25" s="33" t="inlineStr">
        <is>
          <t>Week 4</t>
        </is>
      </c>
      <c r="C25" s="33" t="inlineStr">
        <is>
          <t>Prediction results, screenshots, first report draft</t>
        </is>
      </c>
      <c r="D25" s="33" t="inlineStr"/>
      <c r="E25" s="33" t="inlineStr"/>
      <c r="F25" s="33" t="inlineStr"/>
      <c r="G25" s="33" t="inlineStr">
        <is>
          <t>Not started</t>
        </is>
      </c>
      <c r="J25" s="33" t="inlineStr"/>
    </row>
    <row r="26">
      <c r="A26" s="35" t="n">
        <v>46175</v>
      </c>
      <c r="B26" s="33" t="inlineStr">
        <is>
          <t>Week 4</t>
        </is>
      </c>
      <c r="C26" s="33" t="inlineStr">
        <is>
          <t>Prediction results, screenshots, first report draft</t>
        </is>
      </c>
      <c r="D26" s="33" t="inlineStr"/>
      <c r="E26" s="33" t="inlineStr"/>
      <c r="F26" s="33" t="inlineStr"/>
      <c r="G26" s="33" t="inlineStr">
        <is>
          <t>Not started</t>
        </is>
      </c>
      <c r="J26" s="33" t="inlineStr"/>
    </row>
    <row r="27">
      <c r="A27" s="35" t="n">
        <v>46176</v>
      </c>
      <c r="B27" s="33" t="inlineStr">
        <is>
          <t>Week 4</t>
        </is>
      </c>
      <c r="C27" s="33" t="inlineStr">
        <is>
          <t>Prediction results, screenshots, first report draft</t>
        </is>
      </c>
      <c r="D27" s="33" t="inlineStr"/>
      <c r="E27" s="33" t="inlineStr"/>
      <c r="F27" s="33" t="inlineStr"/>
      <c r="G27" s="33" t="inlineStr">
        <is>
          <t>Not started</t>
        </is>
      </c>
      <c r="J27" s="33" t="inlineStr"/>
    </row>
    <row r="28">
      <c r="A28" s="35" t="n">
        <v>46177</v>
      </c>
      <c r="B28" s="33" t="inlineStr">
        <is>
          <t>Week 4</t>
        </is>
      </c>
      <c r="C28" s="33" t="inlineStr">
        <is>
          <t>Prediction results, screenshots, first report draft</t>
        </is>
      </c>
      <c r="D28" s="33" t="inlineStr"/>
      <c r="E28" s="33" t="inlineStr"/>
      <c r="F28" s="33" t="inlineStr"/>
      <c r="G28" s="33" t="inlineStr">
        <is>
          <t>Not started</t>
        </is>
      </c>
      <c r="J28" s="33" t="inlineStr"/>
    </row>
    <row r="29">
      <c r="A29" s="35" t="n">
        <v>46178</v>
      </c>
      <c r="B29" s="33" t="inlineStr">
        <is>
          <t>Week 4</t>
        </is>
      </c>
      <c r="C29" s="33" t="inlineStr">
        <is>
          <t>Prediction results, screenshots, first report draft</t>
        </is>
      </c>
      <c r="D29" s="33" t="inlineStr"/>
      <c r="E29" s="33" t="inlineStr"/>
      <c r="F29" s="33" t="inlineStr"/>
      <c r="G29" s="33" t="inlineStr">
        <is>
          <t>Not started</t>
        </is>
      </c>
      <c r="J29" s="33" t="inlineStr"/>
    </row>
    <row r="30">
      <c r="A30" s="35" t="n">
        <v>46179</v>
      </c>
      <c r="B30" s="33" t="inlineStr">
        <is>
          <t>Week 4</t>
        </is>
      </c>
      <c r="C30" s="33" t="inlineStr">
        <is>
          <t>Prediction results, screenshots, first report draft</t>
        </is>
      </c>
      <c r="D30" s="33" t="inlineStr"/>
      <c r="E30" s="33" t="inlineStr"/>
      <c r="F30" s="33" t="inlineStr"/>
      <c r="G30" s="33" t="inlineStr">
        <is>
          <t>Not started</t>
        </is>
      </c>
      <c r="J30" s="33" t="inlineStr"/>
    </row>
    <row r="31">
      <c r="A31" s="35" t="n">
        <v>46180</v>
      </c>
      <c r="B31" s="33" t="inlineStr">
        <is>
          <t>Week 4</t>
        </is>
      </c>
      <c r="C31" s="33" t="inlineStr">
        <is>
          <t>Prediction results, screenshots, first report draft</t>
        </is>
      </c>
      <c r="D31" s="33" t="inlineStr"/>
      <c r="E31" s="33" t="inlineStr"/>
      <c r="F31" s="33" t="inlineStr"/>
      <c r="G31" s="33" t="inlineStr">
        <is>
          <t>Not started</t>
        </is>
      </c>
      <c r="J31" s="33" t="inlineStr"/>
    </row>
    <row r="32">
      <c r="A32" s="35" t="n">
        <v>46181</v>
      </c>
      <c r="B32" s="33" t="inlineStr">
        <is>
          <t>Week 5</t>
        </is>
      </c>
      <c r="C32" s="33" t="inlineStr">
        <is>
          <t>Formatting, review, defense preparation</t>
        </is>
      </c>
      <c r="D32" s="33" t="inlineStr"/>
      <c r="E32" s="33" t="inlineStr"/>
      <c r="F32" s="33" t="inlineStr"/>
      <c r="G32" s="33" t="inlineStr">
        <is>
          <t>Not started</t>
        </is>
      </c>
      <c r="J32" s="33" t="inlineStr"/>
    </row>
    <row r="33">
      <c r="A33" s="35" t="n">
        <v>46182</v>
      </c>
      <c r="B33" s="33" t="inlineStr">
        <is>
          <t>Week 5</t>
        </is>
      </c>
      <c r="C33" s="33" t="inlineStr">
        <is>
          <t>Formatting, review, defense preparation</t>
        </is>
      </c>
      <c r="D33" s="33" t="inlineStr"/>
      <c r="E33" s="33" t="inlineStr"/>
      <c r="F33" s="33" t="inlineStr"/>
      <c r="G33" s="33" t="inlineStr">
        <is>
          <t>Not started</t>
        </is>
      </c>
      <c r="J33" s="33" t="inlineStr"/>
    </row>
    <row r="34">
      <c r="A34" s="35" t="n">
        <v>46183</v>
      </c>
      <c r="B34" s="33" t="inlineStr">
        <is>
          <t>Week 5</t>
        </is>
      </c>
      <c r="C34" s="33" t="inlineStr">
        <is>
          <t>Formatting, review, defense preparation</t>
        </is>
      </c>
      <c r="D34" s="33" t="inlineStr"/>
      <c r="E34" s="33" t="inlineStr"/>
      <c r="F34" s="33" t="inlineStr"/>
      <c r="G34" s="33" t="inlineStr">
        <is>
          <t>Not started</t>
        </is>
      </c>
      <c r="J34" s="33" t="inlineStr"/>
    </row>
    <row r="35">
      <c r="A35" s="35" t="n">
        <v>46184</v>
      </c>
      <c r="B35" s="33" t="inlineStr">
        <is>
          <t>Week 5</t>
        </is>
      </c>
      <c r="C35" s="33" t="inlineStr">
        <is>
          <t>Formatting, review, defense preparation</t>
        </is>
      </c>
      <c r="D35" s="33" t="inlineStr"/>
      <c r="E35" s="33" t="inlineStr"/>
      <c r="F35" s="33" t="inlineStr"/>
      <c r="G35" s="33" t="inlineStr">
        <is>
          <t>Not started</t>
        </is>
      </c>
      <c r="J35" s="33" t="inlineStr"/>
    </row>
    <row r="36">
      <c r="A36" s="35" t="n">
        <v>46185</v>
      </c>
      <c r="B36" s="33" t="inlineStr">
        <is>
          <t>Week 5</t>
        </is>
      </c>
      <c r="C36" s="33" t="inlineStr">
        <is>
          <t>Formatting, review, defense preparation</t>
        </is>
      </c>
      <c r="D36" s="33" t="inlineStr"/>
      <c r="E36" s="33" t="inlineStr"/>
      <c r="F36" s="33" t="inlineStr"/>
      <c r="G36" s="33" t="inlineStr">
        <is>
          <t>Not started</t>
        </is>
      </c>
      <c r="J36" s="33" t="inlineStr"/>
    </row>
    <row r="37">
      <c r="A37" s="35" t="n">
        <v>46186</v>
      </c>
      <c r="B37" s="33" t="inlineStr">
        <is>
          <t>Week 5</t>
        </is>
      </c>
      <c r="C37" s="33" t="inlineStr">
        <is>
          <t>Formatting, review, defense preparation</t>
        </is>
      </c>
      <c r="D37" s="33" t="inlineStr"/>
      <c r="E37" s="33" t="inlineStr"/>
      <c r="F37" s="33" t="inlineStr"/>
      <c r="G37" s="33" t="inlineStr">
        <is>
          <t>Not started</t>
        </is>
      </c>
      <c r="J37" s="33" t="inlineStr"/>
    </row>
    <row r="38">
      <c r="A38" s="35" t="n">
        <v>46187</v>
      </c>
      <c r="B38" s="33" t="inlineStr">
        <is>
          <t>Week 5</t>
        </is>
      </c>
      <c r="C38" s="33" t="inlineStr">
        <is>
          <t>Formatting, review, defense preparation</t>
        </is>
      </c>
      <c r="D38" s="33" t="inlineStr"/>
      <c r="E38" s="33" t="inlineStr"/>
      <c r="F38" s="33" t="inlineStr"/>
      <c r="G38" s="33" t="inlineStr">
        <is>
          <t>Not started</t>
        </is>
      </c>
      <c r="J38" s="33" t="inlineStr"/>
    </row>
    <row r="39">
      <c r="A39" s="35" t="n">
        <v>46188</v>
      </c>
      <c r="B39" s="33" t="inlineStr">
        <is>
          <t>Week 6</t>
        </is>
      </c>
      <c r="C39" s="33" t="inlineStr">
        <is>
          <t>Final freeze and rehearsal</t>
        </is>
      </c>
      <c r="D39" s="33" t="inlineStr"/>
      <c r="E39" s="33" t="inlineStr"/>
      <c r="F39" s="33" t="inlineStr"/>
      <c r="G39" s="33" t="inlineStr">
        <is>
          <t>Not started</t>
        </is>
      </c>
      <c r="J39" s="33" t="inlineStr"/>
    </row>
    <row r="40">
      <c r="A40" s="35" t="n">
        <v>46189</v>
      </c>
      <c r="B40" s="33" t="inlineStr">
        <is>
          <t>Week 6</t>
        </is>
      </c>
      <c r="C40" s="33" t="inlineStr">
        <is>
          <t>Final freeze and rehearsal</t>
        </is>
      </c>
      <c r="D40" s="33" t="inlineStr"/>
      <c r="E40" s="33" t="inlineStr"/>
      <c r="F40" s="33" t="inlineStr"/>
      <c r="G40" s="33" t="inlineStr">
        <is>
          <t>Not started</t>
        </is>
      </c>
      <c r="J40" s="33" t="inlineStr"/>
    </row>
    <row r="41">
      <c r="A41" s="35" t="n">
        <v>46190</v>
      </c>
      <c r="B41" s="33" t="inlineStr">
        <is>
          <t>Week 6</t>
        </is>
      </c>
      <c r="C41" s="33" t="inlineStr">
        <is>
          <t>Final freeze and rehearsal</t>
        </is>
      </c>
      <c r="D41" s="33" t="inlineStr"/>
      <c r="E41" s="33" t="inlineStr"/>
      <c r="F41" s="33" t="inlineStr"/>
      <c r="G41" s="33" t="inlineStr">
        <is>
          <t>Not started</t>
        </is>
      </c>
      <c r="J41" s="33" t="inlineStr"/>
    </row>
    <row r="42">
      <c r="A42" s="35" t="n">
        <v>46191</v>
      </c>
      <c r="B42" s="33" t="inlineStr">
        <is>
          <t>Week 6</t>
        </is>
      </c>
      <c r="C42" s="33" t="inlineStr">
        <is>
          <t>Final freeze and rehearsal</t>
        </is>
      </c>
      <c r="D42" s="33" t="inlineStr"/>
      <c r="E42" s="33" t="inlineStr"/>
      <c r="F42" s="33" t="inlineStr"/>
      <c r="G42" s="33" t="inlineStr">
        <is>
          <t>Not started</t>
        </is>
      </c>
      <c r="J42" s="33" t="inlineStr"/>
    </row>
    <row r="43">
      <c r="A43" s="35" t="n">
        <v>46192</v>
      </c>
      <c r="B43" s="33" t="inlineStr">
        <is>
          <t>Week 6</t>
        </is>
      </c>
      <c r="C43" s="33" t="inlineStr">
        <is>
          <t>Final freeze and rehearsal</t>
        </is>
      </c>
      <c r="D43" s="33" t="inlineStr"/>
      <c r="E43" s="33" t="inlineStr"/>
      <c r="F43" s="33" t="inlineStr"/>
      <c r="G43" s="33" t="inlineStr">
        <is>
          <t>Not started</t>
        </is>
      </c>
      <c r="J43" s="33" t="inlineStr"/>
    </row>
    <row r="44">
      <c r="A44" s="35" t="n">
        <v>46193</v>
      </c>
      <c r="B44" s="33" t="inlineStr">
        <is>
          <t>Week 6</t>
        </is>
      </c>
      <c r="C44" s="33" t="inlineStr">
        <is>
          <t>Final freeze and rehearsal</t>
        </is>
      </c>
      <c r="D44" s="33" t="inlineStr"/>
      <c r="E44" s="33" t="inlineStr"/>
      <c r="F44" s="33" t="inlineStr"/>
      <c r="G44" s="33" t="inlineStr">
        <is>
          <t>Not started</t>
        </is>
      </c>
      <c r="J44" s="33" t="inlineStr"/>
    </row>
  </sheetData>
  <mergeCells count="2">
    <mergeCell ref="A2:H2"/>
    <mergeCell ref="A1:H1"/>
  </mergeCells>
  <conditionalFormatting sqref="G4:G200">
    <cfRule type="expression" priority="1" dxfId="0">
      <formula>$G4="Done"</formula>
    </cfRule>
    <cfRule type="expression" priority="2" dxfId="1">
      <formula>$G4="In progress"</formula>
    </cfRule>
    <cfRule type="expression" priority="3" dxfId="2">
      <formula>$G4="Blocked"</formula>
    </cfRule>
    <cfRule type="expression" priority="4" dxfId="2">
      <formula>$G4="Risk"</formula>
    </cfRule>
    <cfRule type="expression" priority="5" dxfId="3">
      <formula>$G4="To verify"</formula>
    </cfRule>
  </conditionalFormatting>
  <conditionalFormatting sqref="A4:H500">
    <cfRule type="expression" priority="6" dxfId="0">
      <formula>=$G4="Done"</formula>
    </cfRule>
    <cfRule type="expression" priority="7" dxfId="4">
      <formula>=$G4="In progress"</formula>
    </cfRule>
    <cfRule type="expression" priority="8" dxfId="2">
      <formula>=OR($G4="Blocked",$G4="Risk")</formula>
    </cfRule>
  </conditionalFormatting>
  <dataValidations count="2">
    <dataValidation sqref="G4:G200" showDropDown="0" showInputMessage="0" showErrorMessage="0" allowBlank="1" type="list">
      <formula1>"Not started,In progress,To verify,Done,Blocked,Risk"</formula1>
    </dataValidation>
    <dataValidation sqref="G4:G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8" customWidth="1" min="4" max="4"/>
    <col width="32" customWidth="1" min="5" max="5"/>
    <col width="16" customWidth="1" min="6" max="6"/>
    <col width="36" customWidth="1" min="7" max="7"/>
  </cols>
  <sheetData>
    <row r="1" ht="34" customHeight="1">
      <c r="A1" s="29" t="inlineStr">
        <is>
          <t>WEEKLY EXECUTION PLAN</t>
        </is>
      </c>
      <c r="B1" s="30" t="n"/>
      <c r="C1" s="30" t="n"/>
      <c r="D1" s="30" t="n"/>
      <c r="E1" s="30" t="n"/>
      <c r="F1" s="30" t="n"/>
      <c r="G1" s="30" t="n"/>
      <c r="H1" s="31" t="n"/>
    </row>
    <row r="2">
      <c r="A2" s="32" t="inlineStr">
        <is>
          <t>Deadlines from May 11 to June 20</t>
        </is>
      </c>
      <c r="B2" s="30" t="n"/>
      <c r="C2" s="30" t="n"/>
      <c r="D2" s="30" t="n"/>
      <c r="E2" s="30" t="n"/>
      <c r="F2" s="30" t="n"/>
      <c r="G2" s="30" t="n"/>
      <c r="H2" s="31" t="n"/>
    </row>
    <row r="3" ht="28" customHeight="1">
      <c r="A3" s="34" t="inlineStr">
        <is>
          <t>Week</t>
        </is>
      </c>
      <c r="B3" s="34" t="inlineStr">
        <is>
          <t>Dates</t>
        </is>
      </c>
      <c r="C3" s="34" t="inlineStr">
        <is>
          <t>Objective</t>
        </is>
      </c>
      <c r="D3" s="34" t="inlineStr">
        <is>
          <t>Must Finish</t>
        </is>
      </c>
      <c r="E3" s="34" t="inlineStr">
        <is>
          <t>Main Risk</t>
        </is>
      </c>
      <c r="F3" s="34" t="inlineStr">
        <is>
          <t>Status</t>
        </is>
      </c>
      <c r="G3" s="33" t="n"/>
      <c r="H3" s="33" t="n"/>
    </row>
    <row r="4">
      <c r="A4" s="33" t="inlineStr">
        <is>
          <t>Week 1</t>
        </is>
      </c>
      <c r="B4" s="33" t="inlineStr">
        <is>
          <t>2026-05-11 to 2026-05-17</t>
        </is>
      </c>
      <c r="C4" s="33" t="inlineStr">
        <is>
          <t>Stabilize scope and mobile/dashboard basics</t>
        </is>
      </c>
      <c r="D4" s="33" t="inlineStr">
        <is>
          <t>PFE title, KPI definitions, admin/supervisor login, report outline</t>
        </is>
      </c>
      <c r="E4" s="33" t="inlineStr">
        <is>
          <t>Changing scope every day</t>
        </is>
      </c>
      <c r="F4" s="33" t="inlineStr">
        <is>
          <t>In progress</t>
        </is>
      </c>
      <c r="G4" s="33" t="n"/>
      <c r="H4" s="33" t="n"/>
    </row>
    <row r="5">
      <c r="A5" s="33" t="inlineStr">
        <is>
          <t>Week 2</t>
        </is>
      </c>
      <c r="B5" s="33" t="inlineStr">
        <is>
          <t>2026-05-18 to 2026-05-24</t>
        </is>
      </c>
      <c r="C5" s="33" t="inlineStr">
        <is>
          <t>Strengthen data model and backend</t>
        </is>
      </c>
      <c r="D5" s="33" t="inlineStr">
        <is>
          <t>ER diagram, ETL mapping, backend filters, OSA target</t>
        </is>
      </c>
      <c r="E5" s="33" t="inlineStr">
        <is>
          <t>Authentication consumes too much time</t>
        </is>
      </c>
      <c r="F5" s="33" t="inlineStr">
        <is>
          <t>Not started</t>
        </is>
      </c>
      <c r="G5" s="33" t="n"/>
      <c r="H5" s="33" t="n"/>
    </row>
    <row r="6">
      <c r="A6" s="33" t="inlineStr">
        <is>
          <t>Week 3</t>
        </is>
      </c>
      <c r="B6" s="33" t="inlineStr">
        <is>
          <t>2026-05-25 to 2026-05-31</t>
        </is>
      </c>
      <c r="C6" s="33" t="inlineStr">
        <is>
          <t>Web analytics and OSA prediction base</t>
        </is>
      </c>
      <c r="D6" s="33" t="inlineStr">
        <is>
          <t>Validation table, merch monitoring, OSA dataset/model</t>
        </is>
      </c>
      <c r="E6" s="33" t="inlineStr">
        <is>
          <t>Web dashboard not stable</t>
        </is>
      </c>
      <c r="F6" s="33" t="inlineStr">
        <is>
          <t>Not started</t>
        </is>
      </c>
      <c r="G6" s="33" t="n"/>
      <c r="H6" s="33" t="n"/>
    </row>
    <row r="7">
      <c r="A7" s="33" t="inlineStr">
        <is>
          <t>Week 4</t>
        </is>
      </c>
      <c r="B7" s="33" t="inlineStr">
        <is>
          <t>2026-06-01 to 2026-06-07</t>
        </is>
      </c>
      <c r="C7" s="33" t="inlineStr">
        <is>
          <t>Final feature package and report draft</t>
        </is>
      </c>
      <c r="D7" s="33" t="inlineStr">
        <is>
          <t>Prediction results, screenshots, first full report draft</t>
        </is>
      </c>
      <c r="E7" s="33" t="inlineStr">
        <is>
          <t>Report delayed</t>
        </is>
      </c>
      <c r="F7" s="33" t="inlineStr">
        <is>
          <t>Not started</t>
        </is>
      </c>
      <c r="G7" s="33" t="n"/>
      <c r="H7" s="33" t="n"/>
    </row>
    <row r="8">
      <c r="A8" s="33" t="inlineStr">
        <is>
          <t>Week 5</t>
        </is>
      </c>
      <c r="B8" s="33" t="inlineStr">
        <is>
          <t>2026-06-08 to 2026-06-14</t>
        </is>
      </c>
      <c r="C8" s="33" t="inlineStr">
        <is>
          <t>Polish and review</t>
        </is>
      </c>
      <c r="D8" s="33" t="inlineStr">
        <is>
          <t>Formatted report, annexes, presentation, demo script</t>
        </is>
      </c>
      <c r="E8" s="33" t="inlineStr">
        <is>
          <t>Feedback arrives late</t>
        </is>
      </c>
      <c r="F8" s="33" t="inlineStr">
        <is>
          <t>Not started</t>
        </is>
      </c>
      <c r="G8" s="33" t="n"/>
      <c r="H8" s="33" t="n"/>
    </row>
    <row r="9">
      <c r="A9" s="33" t="inlineStr">
        <is>
          <t>Final Week</t>
        </is>
      </c>
      <c r="B9" s="33" t="inlineStr">
        <is>
          <t>2026-06-15 to 2026-06-20</t>
        </is>
      </c>
      <c r="C9" s="33" t="inlineStr">
        <is>
          <t>Final delivery and defense readiness</t>
        </is>
      </c>
      <c r="D9" s="33" t="inlineStr">
        <is>
          <t>Freeze code, final PDF/PPTX, rehearsal</t>
        </is>
      </c>
      <c r="E9" s="33" t="inlineStr">
        <is>
          <t>Last minute bugs</t>
        </is>
      </c>
      <c r="F9" s="33" t="inlineStr">
        <is>
          <t>Not started</t>
        </is>
      </c>
      <c r="G9" s="33" t="n"/>
      <c r="H9" s="33" t="n"/>
    </row>
  </sheetData>
  <mergeCells count="2">
    <mergeCell ref="A2:H2"/>
    <mergeCell ref="A1:H1"/>
  </mergeCells>
  <conditionalFormatting sqref="F4:F20">
    <cfRule type="expression" priority="1" dxfId="0">
      <formula>$F4="Done"</formula>
    </cfRule>
    <cfRule type="expression" priority="2" dxfId="1">
      <formula>$F4="In progress"</formula>
    </cfRule>
    <cfRule type="expression" priority="3" dxfId="2">
      <formula>$F4="Blocked"</formula>
    </cfRule>
    <cfRule type="expression" priority="4" dxfId="2">
      <formula>$F4="Risk"</formula>
    </cfRule>
    <cfRule type="expression" priority="5" dxfId="3">
      <formula>$F4="To verify"</formula>
    </cfRule>
  </conditionalFormatting>
  <conditionalFormatting sqref="A4:H500">
    <cfRule type="expression" priority="6" dxfId="0">
      <formula>=$F4="Done"</formula>
    </cfRule>
    <cfRule type="expression" priority="7" dxfId="4">
      <formula>=$F4="In progress"</formula>
    </cfRule>
    <cfRule type="expression" priority="8" dxfId="2">
      <formula>=OR($F4="Blocked",$F4="Risk")</formula>
    </cfRule>
  </conditionalFormatting>
  <dataValidations count="2">
    <dataValidation sqref="F4:F20" showDropDown="0" showInputMessage="0" showErrorMessage="0" allowBlank="1" type="list">
      <formula1>"Not started,In progress,To verify,Done,Blocked,Risk"</formula1>
    </dataValidation>
    <dataValidation sqref="F4:F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6" customWidth="1" min="3" max="3"/>
    <col width="14" customWidth="1" min="4" max="4"/>
    <col width="16" customWidth="1" min="5" max="5"/>
    <col width="38" customWidth="1" min="6" max="6"/>
  </cols>
  <sheetData>
    <row r="1" ht="34" customHeight="1">
      <c r="A1" s="38" t="inlineStr">
        <is>
          <t>SCHOOL REQUIREMENTS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32" t="inlineStr">
        <is>
          <t>ENSAM PFE report requirements to check before delivery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</row>
    <row r="3" ht="28" customHeight="1">
      <c r="A3" s="40" t="inlineStr">
        <is>
          <t>Requirement</t>
        </is>
      </c>
      <c r="B3" s="40" t="inlineStr">
        <is>
          <t>Expected Deliverable</t>
        </is>
      </c>
      <c r="C3" s="40" t="inlineStr">
        <is>
          <t>Status</t>
        </is>
      </c>
      <c r="D3" s="41" t="inlineStr">
        <is>
          <t>Deadline</t>
        </is>
      </c>
      <c r="E3" s="40" t="inlineStr">
        <is>
          <t>Deadline Health</t>
        </is>
      </c>
      <c r="F3" s="40" t="inlineStr">
        <is>
          <t>Notes</t>
        </is>
      </c>
      <c r="G3" s="33" t="n"/>
      <c r="H3" s="33" t="n"/>
      <c r="I3" s="33" t="n"/>
    </row>
    <row r="4">
      <c r="A4" s="33" t="inlineStr">
        <is>
          <t>Official cover page</t>
        </is>
      </c>
      <c r="B4" s="33" t="inlineStr">
        <is>
          <t>Use Page de garde_BDIoT.docx</t>
        </is>
      </c>
      <c r="C4" s="33" t="inlineStr">
        <is>
          <t>Not started</t>
        </is>
      </c>
      <c r="D4" s="35" t="n">
        <v>46180</v>
      </c>
      <c r="E4" s="33">
        <f>IF(C4="Done","Done",IF(D4="","No date",IF(D4&lt;TODAY(),"Late",IF(D4-TODAY()&lt;=3,"Urgent",IF(D4-TODAY()&lt;=7,"This week","Upcoming")))))</f>
        <v/>
      </c>
      <c r="F4" s="33" t="inlineStr"/>
      <c r="G4" s="33" t="n"/>
      <c r="H4" s="33" t="n"/>
      <c r="I4" s="33" t="n"/>
    </row>
    <row r="5">
      <c r="A5" s="33" t="inlineStr">
        <is>
          <t>Company signature</t>
        </is>
      </c>
      <c r="B5" s="33" t="inlineStr">
        <is>
          <t>Signed report page or approval</t>
        </is>
      </c>
      <c r="C5" s="33" t="inlineStr">
        <is>
          <t>Not started</t>
        </is>
      </c>
      <c r="D5" s="35" t="n">
        <v>46185</v>
      </c>
      <c r="E5" s="33">
        <f>IF(C5="Done","Done",IF(D5="","No date",IF(D5&lt;TODAY(),"Late",IF(D5-TODAY()&lt;=3,"Urgent",IF(D5-TODAY()&lt;=7,"This week","Upcoming")))))</f>
        <v/>
      </c>
      <c r="F5" s="33" t="inlineStr"/>
      <c r="G5" s="33" t="n"/>
      <c r="H5" s="33" t="n"/>
      <c r="I5" s="33" t="n"/>
    </row>
    <row r="6">
      <c r="A6" s="33" t="inlineStr">
        <is>
          <t>Trilingual abstracts</t>
        </is>
      </c>
      <c r="B6" s="33" t="inlineStr">
        <is>
          <t>Arabic, French, English, max 100 words each</t>
        </is>
      </c>
      <c r="C6" s="33" t="inlineStr">
        <is>
          <t>Not started</t>
        </is>
      </c>
      <c r="D6" s="35" t="n">
        <v>46180</v>
      </c>
      <c r="E6" s="33">
        <f>IF(C6="Done","Done",IF(D6="","No date",IF(D6&lt;TODAY(),"Late",IF(D6-TODAY()&lt;=3,"Urgent",IF(D6-TODAY()&lt;=7,"This week","Upcoming")))))</f>
        <v/>
      </c>
      <c r="F6" s="33" t="inlineStr"/>
      <c r="G6" s="33" t="n"/>
      <c r="H6" s="33" t="n"/>
      <c r="I6" s="33" t="n"/>
    </row>
    <row r="7">
      <c r="A7" s="33" t="inlineStr">
        <is>
          <t>Keywords</t>
        </is>
      </c>
      <c r="B7" s="33" t="inlineStr">
        <is>
          <t>5 to 8 keywords</t>
        </is>
      </c>
      <c r="C7" s="33" t="inlineStr">
        <is>
          <t>Not started</t>
        </is>
      </c>
      <c r="D7" s="35" t="n">
        <v>46180</v>
      </c>
      <c r="E7" s="33">
        <f>IF(C7="Done","Done",IF(D7="","No date",IF(D7&lt;TODAY(),"Late",IF(D7-TODAY()&lt;=3,"Urgent",IF(D7-TODAY()&lt;=7,"This week","Upcoming")))))</f>
        <v/>
      </c>
      <c r="F7" s="33" t="inlineStr"/>
      <c r="G7" s="33" t="n"/>
      <c r="H7" s="33" t="n"/>
      <c r="I7" s="33" t="n"/>
    </row>
    <row r="8">
      <c r="A8" s="33" t="inlineStr">
        <is>
          <t>Table of contents</t>
        </is>
      </c>
      <c r="B8" s="33" t="inlineStr">
        <is>
          <t>Paginated, 1 to 2 pages</t>
        </is>
      </c>
      <c r="C8" s="33" t="inlineStr">
        <is>
          <t>Not started</t>
        </is>
      </c>
      <c r="D8" s="35" t="n">
        <v>46178</v>
      </c>
      <c r="E8" s="33">
        <f>IF(C8="Done","Done",IF(D8="","No date",IF(D8&lt;TODAY(),"Late",IF(D8-TODAY()&lt;=3,"Urgent",IF(D8-TODAY()&lt;=7,"This week","Upcoming")))))</f>
        <v/>
      </c>
      <c r="F8" s="33" t="inlineStr"/>
      <c r="G8" s="33" t="n"/>
      <c r="H8" s="33" t="n"/>
      <c r="I8" s="33" t="n"/>
    </row>
    <row r="9">
      <c r="A9" s="33" t="inlineStr">
        <is>
          <t>Introduction generale</t>
        </is>
      </c>
      <c r="B9" s="33" t="inlineStr">
        <is>
          <t>Max 4 pages</t>
        </is>
      </c>
      <c r="C9" s="33" t="inlineStr">
        <is>
          <t>Not started</t>
        </is>
      </c>
      <c r="D9" s="35" t="n">
        <v>46172</v>
      </c>
      <c r="E9" s="33">
        <f>IF(C9="Done","Done",IF(D9="","No date",IF(D9&lt;TODAY(),"Late",IF(D9-TODAY()&lt;=3,"Urgent",IF(D9-TODAY()&lt;=7,"This week","Upcoming")))))</f>
        <v/>
      </c>
      <c r="F9" s="33" t="inlineStr"/>
      <c r="G9" s="33" t="n"/>
      <c r="H9" s="33" t="n"/>
      <c r="I9" s="33" t="n"/>
    </row>
    <row r="10">
      <c r="A10" s="33" t="inlineStr">
        <is>
          <t>Background/theory</t>
        </is>
      </c>
      <c r="B10" s="33" t="inlineStr">
        <is>
          <t>5 to 10 pages</t>
        </is>
      </c>
      <c r="C10" s="33" t="inlineStr">
        <is>
          <t>Not started</t>
        </is>
      </c>
      <c r="D10" s="35" t="n">
        <v>46173</v>
      </c>
      <c r="E10" s="33">
        <f>IF(C10="Done","Done",IF(D10="","No date",IF(D10&lt;TODAY(),"Late",IF(D10-TODAY()&lt;=3,"Urgent",IF(D10-TODAY()&lt;=7,"This week","Upcoming")))))</f>
        <v/>
      </c>
      <c r="F10" s="33" t="inlineStr"/>
      <c r="G10" s="33" t="n"/>
      <c r="H10" s="33" t="n"/>
      <c r="I10" s="33" t="n"/>
    </row>
    <row r="11">
      <c r="A11" s="33" t="inlineStr">
        <is>
          <t>Problem statement</t>
        </is>
      </c>
      <c r="B11" s="33" t="inlineStr">
        <is>
          <t>5 to 10 pages</t>
        </is>
      </c>
      <c r="C11" s="33" t="inlineStr">
        <is>
          <t>Not started</t>
        </is>
      </c>
      <c r="D11" s="35" t="n">
        <v>46174</v>
      </c>
      <c r="E11" s="33">
        <f>IF(C11="Done","Done",IF(D11="","No date",IF(D11&lt;TODAY(),"Late",IF(D11-TODAY()&lt;=3,"Urgent",IF(D11-TODAY()&lt;=7,"This week","Upcoming")))))</f>
        <v/>
      </c>
      <c r="F11" s="33" t="inlineStr"/>
      <c r="G11" s="33" t="n"/>
      <c r="H11" s="33" t="n"/>
      <c r="I11" s="33" t="n"/>
    </row>
    <row r="12">
      <c r="A12" s="33" t="inlineStr">
        <is>
          <t>Retained solution</t>
        </is>
      </c>
      <c r="B12" s="33" t="inlineStr">
        <is>
          <t>2 to 3 pages</t>
        </is>
      </c>
      <c r="C12" s="33" t="inlineStr">
        <is>
          <t>Not started</t>
        </is>
      </c>
      <c r="D12" s="35" t="n">
        <v>46174</v>
      </c>
      <c r="E12" s="33">
        <f>IF(C12="Done","Done",IF(D12="","No date",IF(D12&lt;TODAY(),"Late",IF(D12-TODAY()&lt;=3,"Urgent",IF(D12-TODAY()&lt;=7,"This week","Upcoming")))))</f>
        <v/>
      </c>
      <c r="F12" s="33" t="inlineStr"/>
      <c r="G12" s="33" t="n"/>
      <c r="H12" s="33" t="n"/>
      <c r="I12" s="33" t="n"/>
    </row>
    <row r="13">
      <c r="A13" s="33" t="inlineStr">
        <is>
          <t>Adopted solution and algorithms</t>
        </is>
      </c>
      <c r="B13" s="33" t="inlineStr">
        <is>
          <t>5 to 10 pages</t>
        </is>
      </c>
      <c r="C13" s="33" t="inlineStr">
        <is>
          <t>Not started</t>
        </is>
      </c>
      <c r="D13" s="35" t="n">
        <v>46175</v>
      </c>
      <c r="E13" s="33">
        <f>IF(C13="Done","Done",IF(D13="","No date",IF(D13&lt;TODAY(),"Late",IF(D13-TODAY()&lt;=3,"Urgent",IF(D13-TODAY()&lt;=7,"This week","Upcoming")))))</f>
        <v/>
      </c>
      <c r="F13" s="33" t="inlineStr"/>
      <c r="G13" s="33" t="n"/>
      <c r="H13" s="33" t="n"/>
      <c r="I13" s="33" t="n"/>
    </row>
    <row r="14">
      <c r="A14" s="33" t="inlineStr">
        <is>
          <t>Realization section</t>
        </is>
      </c>
      <c r="B14" s="33" t="inlineStr">
        <is>
          <t>2 to 5 pages</t>
        </is>
      </c>
      <c r="C14" s="33" t="inlineStr">
        <is>
          <t>Not started</t>
        </is>
      </c>
      <c r="D14" s="35" t="n">
        <v>46176</v>
      </c>
      <c r="E14" s="33">
        <f>IF(C14="Done","Done",IF(D14="","No date",IF(D14&lt;TODAY(),"Late",IF(D14-TODAY()&lt;=3,"Urgent",IF(D14-TODAY()&lt;=7,"This week","Upcoming")))))</f>
        <v/>
      </c>
      <c r="F14" s="33" t="inlineStr"/>
      <c r="G14" s="33" t="n"/>
      <c r="H14" s="33" t="n"/>
      <c r="I14" s="33" t="n"/>
    </row>
    <row r="15">
      <c r="A15" s="33" t="inlineStr">
        <is>
          <t>Chronogram</t>
        </is>
      </c>
      <c r="B15" s="33" t="inlineStr">
        <is>
          <t>1 to 2 pages</t>
        </is>
      </c>
      <c r="C15" s="33" t="inlineStr">
        <is>
          <t>Not started</t>
        </is>
      </c>
      <c r="D15" s="35" t="n">
        <v>46177</v>
      </c>
      <c r="E15" s="33">
        <f>IF(C15="Done","Done",IF(D15="","No date",IF(D15&lt;TODAY(),"Late",IF(D15-TODAY()&lt;=3,"Urgent",IF(D15-TODAY()&lt;=7,"This week","Upcoming")))))</f>
        <v/>
      </c>
      <c r="F15" s="33" t="inlineStr"/>
      <c r="G15" s="33" t="n"/>
      <c r="H15" s="33" t="n"/>
      <c r="I15" s="33" t="n"/>
    </row>
    <row r="16">
      <c r="A16" s="33" t="inlineStr">
        <is>
          <t>Conclusion and perspectives</t>
        </is>
      </c>
      <c r="B16" s="33" t="inlineStr">
        <is>
          <t>1 to 2 pages</t>
        </is>
      </c>
      <c r="C16" s="33" t="inlineStr">
        <is>
          <t>Not started</t>
        </is>
      </c>
      <c r="D16" s="35" t="n">
        <v>46179</v>
      </c>
      <c r="E16" s="33">
        <f>IF(C16="Done","Done",IF(D16="","No date",IF(D16&lt;TODAY(),"Late",IF(D16-TODAY()&lt;=3,"Urgent",IF(D16-TODAY()&lt;=7,"This week","Upcoming")))))</f>
        <v/>
      </c>
      <c r="F16" s="33" t="inlineStr"/>
      <c r="G16" s="33" t="n"/>
      <c r="H16" s="33" t="n"/>
      <c r="I16" s="33" t="n"/>
    </row>
    <row r="17">
      <c r="A17" s="33" t="inlineStr">
        <is>
          <t>Bibliography</t>
        </is>
      </c>
      <c r="B17" s="33" t="inlineStr">
        <is>
          <t>1 to 3 pages</t>
        </is>
      </c>
      <c r="C17" s="33" t="inlineStr">
        <is>
          <t>Not started</t>
        </is>
      </c>
      <c r="D17" s="35" t="n">
        <v>46179</v>
      </c>
      <c r="E17" s="33">
        <f>IF(C17="Done","Done",IF(D17="","No date",IF(D17&lt;TODAY(),"Late",IF(D17-TODAY()&lt;=3,"Urgent",IF(D17-TODAY()&lt;=7,"This week","Upcoming")))))</f>
        <v/>
      </c>
      <c r="F17" s="33" t="inlineStr"/>
      <c r="G17" s="33" t="n"/>
      <c r="H17" s="33" t="n"/>
      <c r="I17" s="33" t="n"/>
    </row>
    <row r="18">
      <c r="A18" s="33" t="inlineStr">
        <is>
          <t>Formatting</t>
        </is>
      </c>
      <c r="B18" s="33" t="inlineStr">
        <is>
          <t>Times New Roman, margins, captions, justified text</t>
        </is>
      </c>
      <c r="C18" s="33" t="inlineStr">
        <is>
          <t>Not started</t>
        </is>
      </c>
      <c r="D18" s="35" t="n">
        <v>46181</v>
      </c>
      <c r="E18" s="33">
        <f>IF(C18="Done","Done",IF(D18="","No date",IF(D18&lt;TODAY(),"Late",IF(D18-TODAY()&lt;=3,"Urgent",IF(D18-TODAY()&lt;=7,"This week","Upcoming")))))</f>
        <v/>
      </c>
      <c r="F18" s="33" t="inlineStr"/>
      <c r="G18" s="33" t="n"/>
      <c r="H18" s="33" t="n"/>
      <c r="I18" s="33" t="n"/>
    </row>
  </sheetData>
  <mergeCells count="2">
    <mergeCell ref="A2:H2"/>
    <mergeCell ref="A1:H1"/>
  </mergeCells>
  <conditionalFormatting sqref="C4:C100">
    <cfRule type="expression" priority="1" dxfId="0">
      <formula>$C4="Done"</formula>
    </cfRule>
    <cfRule type="expression" priority="2" dxfId="1">
      <formula>$C4="In progress"</formula>
    </cfRule>
    <cfRule type="expression" priority="3" dxfId="2">
      <formula>$C4="Blocked"</formula>
    </cfRule>
    <cfRule type="expression" priority="4" dxfId="2">
      <formula>$C4="Risk"</formula>
    </cfRule>
    <cfRule type="expression" priority="5" dxfId="3">
      <formula>$C4="To verify"</formula>
    </cfRule>
  </conditionalFormatting>
  <conditionalFormatting sqref="A4:H500">
    <cfRule type="expression" priority="6" dxfId="0">
      <formula>=$C4="Done"</formula>
    </cfRule>
    <cfRule type="expression" priority="7" dxfId="4">
      <formula>=$C4="In progress"</formula>
    </cfRule>
    <cfRule type="expression" priority="8" dxfId="2">
      <formula>=OR($C4="Blocked",$C4="Risk")</formula>
    </cfRule>
  </conditionalFormatting>
  <conditionalFormatting sqref="E4:E500">
    <cfRule type="expression" priority="9" dxfId="2">
      <formula>=$E4="Late"</formula>
    </cfRule>
    <cfRule type="expression" priority="10" dxfId="5">
      <formula>=$E4="Urgent"</formula>
    </cfRule>
    <cfRule type="expression" priority="11" dxfId="4">
      <formula>=$E4="This week"</formula>
    </cfRule>
    <cfRule type="expression" priority="12" dxfId="0">
      <formula>=$E4="Done"</formula>
    </cfRule>
  </conditionalFormatting>
  <dataValidations count="2">
    <dataValidation sqref="C4:C100" showDropDown="0" showInputMessage="0" showErrorMessage="0" allowBlank="1" type="list">
      <formula1>"Not started,In progress,To verify,Done,Blocked,Risk"</formula1>
    </dataValidation>
    <dataValidation sqref="C4:C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50" customWidth="1" min="4" max="4"/>
    <col width="16" customWidth="1" min="5" max="5"/>
    <col width="14" customWidth="1" min="6" max="6"/>
    <col width="16" customWidth="1" min="7" max="7"/>
  </cols>
  <sheetData>
    <row r="1" ht="34" customHeight="1">
      <c r="A1" s="38" t="inlineStr">
        <is>
          <t>OSA PREDICTION MVP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32" t="inlineStr">
        <is>
          <t>Keep this simple: an academic predictive analytics module with clear metrics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</row>
    <row r="3" ht="28" customHeight="1">
      <c r="A3" s="40" t="inlineStr">
        <is>
          <t>Step</t>
        </is>
      </c>
      <c r="B3" s="40" t="inlineStr">
        <is>
          <t>Task</t>
        </is>
      </c>
      <c r="C3" s="40" t="inlineStr">
        <is>
          <t>Business Meaning</t>
        </is>
      </c>
      <c r="D3" s="40" t="inlineStr">
        <is>
          <t>Technical Approach</t>
        </is>
      </c>
      <c r="E3" s="40" t="inlineStr">
        <is>
          <t>Status</t>
        </is>
      </c>
      <c r="F3" s="41" t="inlineStr">
        <is>
          <t>Deadline</t>
        </is>
      </c>
      <c r="G3" s="40" t="inlineStr">
        <is>
          <t>Deadline Health</t>
        </is>
      </c>
      <c r="H3" s="33" t="n"/>
      <c r="I3" s="33" t="n"/>
    </row>
    <row r="4">
      <c r="A4" s="33" t="n">
        <v>1</v>
      </c>
      <c r="B4" s="33" t="inlineStr">
        <is>
          <t>Define target variable</t>
        </is>
      </c>
      <c r="C4" s="33" t="inlineStr">
        <is>
          <t>Predict product availability Oui/Non</t>
        </is>
      </c>
      <c r="D4" s="33" t="inlineStr">
        <is>
          <t>Use OSA survey response as target</t>
        </is>
      </c>
      <c r="E4" s="33" t="inlineStr">
        <is>
          <t>Not started</t>
        </is>
      </c>
      <c r="F4" s="35" t="n">
        <v>46166</v>
      </c>
      <c r="G4" s="33">
        <f>IF(E4="Done","Done",IF(F4="","No date",IF(F4&lt;TODAY(),"Late",IF(F4-TODAY()&lt;=3,"Urgent",IF(F4-TODAY()&lt;=7,"This week","Upcoming")))))</f>
        <v/>
      </c>
      <c r="H4" s="33" t="n"/>
      <c r="I4" s="33" t="n"/>
    </row>
    <row r="5">
      <c r="A5" s="33" t="n">
        <v>2</v>
      </c>
      <c r="B5" s="33" t="inlineStr">
        <is>
          <t>Build dataset</t>
        </is>
      </c>
      <c r="C5" s="33" t="inlineStr">
        <is>
          <t>Create historical learning table</t>
        </is>
      </c>
      <c r="D5" s="33" t="inlineStr">
        <is>
          <t>Join survey_responses + visits + stores + products</t>
        </is>
      </c>
      <c r="E5" s="33" t="inlineStr">
        <is>
          <t>Not started</t>
        </is>
      </c>
      <c r="F5" s="35" t="n">
        <v>46168</v>
      </c>
      <c r="G5" s="33">
        <f>IF(E5="Done","Done",IF(F5="","No date",IF(F5&lt;TODAY(),"Late",IF(F5-TODAY()&lt;=3,"Urgent",IF(F5-TODAY()&lt;=7,"This week","Upcoming")))))</f>
        <v/>
      </c>
      <c r="H5" s="33" t="n"/>
      <c r="I5" s="33" t="n"/>
    </row>
    <row r="6">
      <c r="A6" s="33" t="n">
        <v>3</v>
      </c>
      <c r="B6" s="33" t="inlineStr">
        <is>
          <t>Feature engineering</t>
        </is>
      </c>
      <c r="C6" s="33" t="inlineStr">
        <is>
          <t>Capture store/product/context effects</t>
        </is>
      </c>
      <c r="D6" s="33" t="inlineStr">
        <is>
          <t>Store, product, brand, category, city, region, day, history</t>
        </is>
      </c>
      <c r="E6" s="33" t="inlineStr">
        <is>
          <t>Not started</t>
        </is>
      </c>
      <c r="F6" s="35" t="n">
        <v>46169</v>
      </c>
      <c r="G6" s="33">
        <f>IF(E6="Done","Done",IF(F6="","No date",IF(F6&lt;TODAY(),"Late",IF(F6-TODAY()&lt;=3,"Urgent",IF(F6-TODAY()&lt;=7,"This week","Upcoming")))))</f>
        <v/>
      </c>
      <c r="H6" s="33" t="n"/>
      <c r="I6" s="33" t="n"/>
    </row>
    <row r="7">
      <c r="A7" s="33" t="n">
        <v>4</v>
      </c>
      <c r="B7" s="33" t="inlineStr">
        <is>
          <t>Train baseline model</t>
        </is>
      </c>
      <c r="C7" s="33" t="inlineStr">
        <is>
          <t>First prediction result</t>
        </is>
      </c>
      <c r="D7" s="33" t="inlineStr">
        <is>
          <t>Logistic Regression or Random Forest</t>
        </is>
      </c>
      <c r="E7" s="33" t="inlineStr">
        <is>
          <t>Not started</t>
        </is>
      </c>
      <c r="F7" s="35" t="n">
        <v>46172</v>
      </c>
      <c r="G7" s="33">
        <f>IF(E7="Done","Done",IF(F7="","No date",IF(F7&lt;TODAY(),"Late",IF(F7-TODAY()&lt;=3,"Urgent",IF(F7-TODAY()&lt;=7,"This week","Upcoming")))))</f>
        <v/>
      </c>
      <c r="H7" s="33" t="n"/>
      <c r="I7" s="33" t="n"/>
    </row>
    <row r="8">
      <c r="A8" s="33" t="n">
        <v>5</v>
      </c>
      <c r="B8" s="33" t="inlineStr">
        <is>
          <t>Evaluate model</t>
        </is>
      </c>
      <c r="C8" s="33" t="inlineStr">
        <is>
          <t>Prove model quality</t>
        </is>
      </c>
      <c r="D8" s="33" t="inlineStr">
        <is>
          <t>Accuracy, precision, recall, F1, confusion matrix</t>
        </is>
      </c>
      <c r="E8" s="33" t="inlineStr">
        <is>
          <t>Not started</t>
        </is>
      </c>
      <c r="F8" s="35" t="n">
        <v>46174</v>
      </c>
      <c r="G8" s="33">
        <f>IF(E8="Done","Done",IF(F8="","No date",IF(F8&lt;TODAY(),"Late",IF(F8-TODAY()&lt;=3,"Urgent",IF(F8-TODAY()&lt;=7,"This week","Upcoming")))))</f>
        <v/>
      </c>
      <c r="H8" s="33" t="n"/>
      <c r="I8" s="33" t="n"/>
    </row>
    <row r="9">
      <c r="A9" s="33" t="n">
        <v>6</v>
      </c>
      <c r="B9" s="33" t="inlineStr">
        <is>
          <t>Store predictions</t>
        </is>
      </c>
      <c r="C9" s="33" t="inlineStr">
        <is>
          <t>Make result usable by dashboard</t>
        </is>
      </c>
      <c r="D9" s="33" t="inlineStr">
        <is>
          <t>CSV/table with risk level</t>
        </is>
      </c>
      <c r="E9" s="33" t="inlineStr">
        <is>
          <t>Not started</t>
        </is>
      </c>
      <c r="F9" s="35" t="n">
        <v>46176</v>
      </c>
      <c r="G9" s="33">
        <f>IF(E9="Done","Done",IF(F9="","No date",IF(F9&lt;TODAY(),"Late",IF(F9-TODAY()&lt;=3,"Urgent",IF(F9-TODAY()&lt;=7,"This week","Upcoming")))))</f>
        <v/>
      </c>
      <c r="H9" s="33" t="n"/>
      <c r="I9" s="33" t="n"/>
    </row>
    <row r="10">
      <c r="A10" s="33" t="n">
        <v>7</v>
      </c>
      <c r="B10" s="33" t="inlineStr">
        <is>
          <t>Expose API</t>
        </is>
      </c>
      <c r="C10" s="33" t="inlineStr">
        <is>
          <t>Connect ML to app</t>
        </is>
      </c>
      <c r="D10" s="33" t="inlineStr">
        <is>
          <t>Spring Boot endpoint for predictions</t>
        </is>
      </c>
      <c r="E10" s="33" t="inlineStr">
        <is>
          <t>Not started</t>
        </is>
      </c>
      <c r="F10" s="35" t="n">
        <v>46178</v>
      </c>
      <c r="G10" s="33">
        <f>IF(E10="Done","Done",IF(F10="","No date",IF(F10&lt;TODAY(),"Late",IF(F10-TODAY()&lt;=3,"Urgent",IF(F10-TODAY()&lt;=7,"This week","Upcoming")))))</f>
        <v/>
      </c>
      <c r="H10" s="33" t="n"/>
      <c r="I10" s="33" t="n"/>
    </row>
    <row r="11">
      <c r="A11" s="33" t="n">
        <v>8</v>
      </c>
      <c r="B11" s="33" t="inlineStr">
        <is>
          <t>Web view</t>
        </is>
      </c>
      <c r="C11" s="33" t="inlineStr">
        <is>
          <t>Show analytics value</t>
        </is>
      </c>
      <c r="D11" s="33" t="inlineStr">
        <is>
          <t>High-risk out-of-stock products table/card</t>
        </is>
      </c>
      <c r="E11" s="33" t="inlineStr">
        <is>
          <t>Not started</t>
        </is>
      </c>
      <c r="F11" s="35" t="n">
        <v>46180</v>
      </c>
      <c r="G11" s="33">
        <f>IF(E11="Done","Done",IF(F11="","No date",IF(F11&lt;TODAY(),"Late",IF(F11-TODAY()&lt;=3,"Urgent",IF(F11-TODAY()&lt;=7,"This week","Upcoming")))))</f>
        <v/>
      </c>
      <c r="H11" s="33" t="n"/>
      <c r="I11" s="33" t="n"/>
    </row>
  </sheetData>
  <mergeCells count="2">
    <mergeCell ref="A2:H2"/>
    <mergeCell ref="A1:H1"/>
  </mergeCells>
  <conditionalFormatting sqref="E4:E100">
    <cfRule type="expression" priority="1" dxfId="0">
      <formula>$E4="Done"</formula>
    </cfRule>
    <cfRule type="expression" priority="2" dxfId="1">
      <formula>$E4="In progress"</formula>
    </cfRule>
    <cfRule type="expression" priority="3" dxfId="2">
      <formula>$E4="Blocked"</formula>
    </cfRule>
    <cfRule type="expression" priority="4" dxfId="2">
      <formula>$E4="Risk"</formula>
    </cfRule>
    <cfRule type="expression" priority="5" dxfId="3">
      <formula>$E4="To verify"</formula>
    </cfRule>
  </conditionalFormatting>
  <conditionalFormatting sqref="A4:H500">
    <cfRule type="expression" priority="6" dxfId="0">
      <formula>=$E4="Done"</formula>
    </cfRule>
    <cfRule type="expression" priority="7" dxfId="4">
      <formula>=$E4="In progress"</formula>
    </cfRule>
    <cfRule type="expression" priority="8" dxfId="2">
      <formula>=OR($E4="Blocked",$E4="Risk")</formula>
    </cfRule>
  </conditionalFormatting>
  <conditionalFormatting sqref="G4:G500">
    <cfRule type="expression" priority="9" dxfId="2">
      <formula>=$G4="Late"</formula>
    </cfRule>
    <cfRule type="expression" priority="10" dxfId="5">
      <formula>=$G4="Urgent"</formula>
    </cfRule>
    <cfRule type="expression" priority="11" dxfId="4">
      <formula>=$G4="This week"</formula>
    </cfRule>
    <cfRule type="expression" priority="12" dxfId="0">
      <formula>=$G4="Done"</formula>
    </cfRule>
  </conditionalFormatting>
  <dataValidations count="2">
    <dataValidation sqref="E4:E100" showDropDown="0" showInputMessage="0" showErrorMessage="0" allowBlank="1" type="list">
      <formula1>"Not started,In progress,To verify,Done,Blocked,Risk"</formula1>
    </dataValidation>
    <dataValidation sqref="E4:E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16" customWidth="1" min="3" max="3"/>
    <col width="38" customWidth="1" min="4" max="4"/>
  </cols>
  <sheetData>
    <row r="1" ht="34" customHeight="1">
      <c r="A1" s="29" t="inlineStr">
        <is>
          <t>JURY-READY QUESTIONS</t>
        </is>
      </c>
      <c r="B1" s="30" t="n"/>
      <c r="C1" s="30" t="n"/>
      <c r="D1" s="30" t="n"/>
      <c r="E1" s="30" t="n"/>
      <c r="F1" s="30" t="n"/>
      <c r="G1" s="30" t="n"/>
      <c r="H1" s="31" t="n"/>
    </row>
    <row r="2">
      <c r="A2" s="32" t="inlineStr">
        <is>
          <t>Prepare these answers before the defense</t>
        </is>
      </c>
      <c r="B2" s="30" t="n"/>
      <c r="C2" s="30" t="n"/>
      <c r="D2" s="30" t="n"/>
      <c r="E2" s="30" t="n"/>
      <c r="F2" s="30" t="n"/>
      <c r="G2" s="30" t="n"/>
      <c r="H2" s="31" t="n"/>
    </row>
    <row r="3" ht="28" customHeight="1">
      <c r="A3" s="34" t="inlineStr">
        <is>
          <t>Question</t>
        </is>
      </c>
      <c r="B3" s="34" t="inlineStr">
        <is>
          <t>Answer Direction</t>
        </is>
      </c>
      <c r="C3" s="34" t="inlineStr">
        <is>
          <t>Status</t>
        </is>
      </c>
      <c r="D3" s="34" t="inlineStr">
        <is>
          <t>Notes</t>
        </is>
      </c>
      <c r="E3" s="33" t="n"/>
      <c r="F3" s="33" t="n"/>
      <c r="G3" s="33" t="n"/>
      <c r="H3" s="33" t="n"/>
    </row>
    <row r="4">
      <c r="A4" s="33" t="inlineStr">
        <is>
          <t>Why StoreCode and not StoreName?</t>
        </is>
      </c>
      <c r="B4" s="33" t="inlineStr">
        <is>
          <t>StoreName is not unique; StoreCode is the business key.</t>
        </is>
      </c>
      <c r="C4" s="33" t="inlineStr">
        <is>
          <t>To verify</t>
        </is>
      </c>
      <c r="D4" s="33" t="inlineStr">
        <is>
          <t>Use Excel duplicate example.</t>
        </is>
      </c>
      <c r="E4" s="33" t="n"/>
      <c r="F4" s="33" t="n"/>
      <c r="G4" s="33" t="n"/>
      <c r="H4" s="33" t="n"/>
    </row>
    <row r="5">
      <c r="A5" s="33" t="inlineStr">
        <is>
          <t>Why mobile and web?</t>
        </is>
      </c>
      <c r="B5" s="33" t="inlineStr">
        <is>
          <t>Mobile is operational daily monitoring; web is analytical validation and decision support.</t>
        </is>
      </c>
      <c r="C5" s="33" t="inlineStr">
        <is>
          <t>To verify</t>
        </is>
      </c>
      <c r="D5" s="33" t="inlineStr"/>
      <c r="E5" s="33" t="n"/>
      <c r="F5" s="33" t="n"/>
      <c r="G5" s="33" t="n"/>
      <c r="H5" s="33" t="n"/>
    </row>
    <row r="6">
      <c r="A6" s="33" t="inlineStr">
        <is>
          <t>Why MySQL?</t>
        </is>
      </c>
      <c r="B6" s="33" t="inlineStr">
        <is>
          <t>Relational integrity, joins, structured reporting, familiar enterprise database.</t>
        </is>
      </c>
      <c r="C6" s="33" t="inlineStr">
        <is>
          <t>To verify</t>
        </is>
      </c>
      <c r="D6" s="33" t="inlineStr"/>
      <c r="E6" s="33" t="n"/>
      <c r="F6" s="33" t="n"/>
      <c r="G6" s="33" t="n"/>
      <c r="H6" s="33" t="n"/>
    </row>
    <row r="7">
      <c r="A7" s="33" t="inlineStr">
        <is>
          <t>Why Spring Boot?</t>
        </is>
      </c>
      <c r="B7" s="33" t="inlineStr">
        <is>
          <t>Professional REST API layer, separation of concerns, scalable backend architecture.</t>
        </is>
      </c>
      <c r="C7" s="33" t="inlineStr">
        <is>
          <t>To verify</t>
        </is>
      </c>
      <c r="D7" s="33" t="inlineStr"/>
      <c r="E7" s="33" t="n"/>
      <c r="F7" s="33" t="n"/>
      <c r="G7" s="33" t="n"/>
      <c r="H7" s="33" t="n"/>
    </row>
    <row r="8">
      <c r="A8" s="33" t="inlineStr">
        <is>
          <t>Why Python ETL?</t>
        </is>
      </c>
      <c r="B8" s="33" t="inlineStr">
        <is>
          <t>Pandas is efficient for Excel cleaning, transformation, and analytics preparation.</t>
        </is>
      </c>
      <c r="C8" s="33" t="inlineStr">
        <is>
          <t>To verify</t>
        </is>
      </c>
      <c r="D8" s="33" t="inlineStr"/>
      <c r="E8" s="33" t="n"/>
      <c r="F8" s="33" t="n"/>
      <c r="G8" s="33" t="n"/>
      <c r="H8" s="33" t="n"/>
    </row>
    <row r="9">
      <c r="A9" s="33" t="inlineStr">
        <is>
          <t>What is Big Data/analytics value?</t>
        </is>
      </c>
      <c r="B9" s="33" t="inlineStr">
        <is>
          <t>ETL, data quality, KPI monitoring, validation, OSA prediction.</t>
        </is>
      </c>
      <c r="C9" s="33" t="inlineStr">
        <is>
          <t>To verify</t>
        </is>
      </c>
      <c r="D9" s="33" t="inlineStr"/>
      <c r="E9" s="33" t="n"/>
      <c r="F9" s="33" t="n"/>
      <c r="G9" s="33" t="n"/>
      <c r="H9" s="33" t="n"/>
    </row>
    <row r="10">
      <c r="A10" s="33" t="inlineStr">
        <is>
          <t>What are limits?</t>
        </is>
      </c>
      <c r="B10" s="33" t="inlineStr">
        <is>
          <t>Data quality, demo authentication, prediction depends on historical data volume.</t>
        </is>
      </c>
      <c r="C10" s="33" t="inlineStr">
        <is>
          <t>To verify</t>
        </is>
      </c>
      <c r="D10" s="33" t="inlineStr"/>
      <c r="E10" s="33" t="n"/>
      <c r="F10" s="33" t="n"/>
      <c r="G10" s="33" t="n"/>
      <c r="H10" s="33" t="n"/>
    </row>
    <row r="11">
      <c r="A11" s="33" t="inlineStr">
        <is>
          <t>Future work?</t>
        </is>
      </c>
      <c r="B11" s="33" t="inlineStr">
        <is>
          <t>JWT auth, richer ML, real-time pipeline, Docker, CI/CD, cloud deployment.</t>
        </is>
      </c>
      <c r="C11" s="33" t="inlineStr">
        <is>
          <t>To verify</t>
        </is>
      </c>
      <c r="D11" s="33" t="inlineStr"/>
      <c r="E11" s="33" t="n"/>
      <c r="F11" s="33" t="n"/>
      <c r="G11" s="33" t="n"/>
      <c r="H11" s="33" t="n"/>
    </row>
  </sheetData>
  <mergeCells count="2">
    <mergeCell ref="A2:H2"/>
    <mergeCell ref="A1:H1"/>
  </mergeCells>
  <conditionalFormatting sqref="C4:C100">
    <cfRule type="expression" priority="1" dxfId="0">
      <formula>$C4="Done"</formula>
    </cfRule>
    <cfRule type="expression" priority="2" dxfId="1">
      <formula>$C4="In progress"</formula>
    </cfRule>
    <cfRule type="expression" priority="3" dxfId="2">
      <formula>$C4="Blocked"</formula>
    </cfRule>
    <cfRule type="expression" priority="4" dxfId="2">
      <formula>$C4="Risk"</formula>
    </cfRule>
    <cfRule type="expression" priority="5" dxfId="3">
      <formula>$C4="To verify"</formula>
    </cfRule>
  </conditionalFormatting>
  <conditionalFormatting sqref="A4:H500">
    <cfRule type="expression" priority="6" dxfId="0">
      <formula>=$C4="Done"</formula>
    </cfRule>
    <cfRule type="expression" priority="7" dxfId="4">
      <formula>=$C4="In progress"</formula>
    </cfRule>
    <cfRule type="expression" priority="8" dxfId="2">
      <formula>=OR($C4="Blocked",$C4="Risk")</formula>
    </cfRule>
  </conditionalFormatting>
  <dataValidations count="2">
    <dataValidation sqref="C4:C100" showDropDown="0" showInputMessage="0" showErrorMessage="0" allowBlank="1" type="list">
      <formula1>"Not started,In progress,To verify,Done,Blocked,Risk"</formula1>
    </dataValidation>
    <dataValidation sqref="C4:C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6" customWidth="1" min="3" max="3"/>
    <col width="14" customWidth="1" min="4" max="4"/>
    <col width="16" customWidth="1" min="5" max="5"/>
    <col width="34" customWidth="1" min="6" max="6"/>
    <col width="40" customWidth="1" min="7" max="7"/>
  </cols>
  <sheetData>
    <row r="1" ht="34" customHeight="1">
      <c r="A1" s="38" t="inlineStr">
        <is>
          <t>DEMO &amp; REPORT EVIDENCE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32" t="inlineStr">
        <is>
          <t>Screenshots, diagrams, SQL outputs, and API examples to collect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</row>
    <row r="3" ht="28" customHeight="1">
      <c r="A3" s="40" t="inlineStr">
        <is>
          <t>Evidence Item</t>
        </is>
      </c>
      <c r="B3" s="40" t="inlineStr">
        <is>
          <t>Where Used</t>
        </is>
      </c>
      <c r="C3" s="40" t="inlineStr">
        <is>
          <t>Status</t>
        </is>
      </c>
      <c r="D3" s="41" t="inlineStr">
        <is>
          <t>Deadline</t>
        </is>
      </c>
      <c r="E3" s="40" t="inlineStr">
        <is>
          <t>Deadline Health</t>
        </is>
      </c>
      <c r="F3" s="40" t="inlineStr">
        <is>
          <t>File/Link</t>
        </is>
      </c>
      <c r="G3" s="40" t="inlineStr">
        <is>
          <t>Notes</t>
        </is>
      </c>
      <c r="H3" s="33" t="n"/>
      <c r="I3" s="33" t="n"/>
    </row>
    <row r="4">
      <c r="A4" s="33" t="inlineStr">
        <is>
          <t>Architecture diagram</t>
        </is>
      </c>
      <c r="B4" s="33" t="inlineStr">
        <is>
          <t>Report + presentation</t>
        </is>
      </c>
      <c r="C4" s="33" t="inlineStr">
        <is>
          <t>Not started</t>
        </is>
      </c>
      <c r="D4" s="35" t="n">
        <v>46170</v>
      </c>
      <c r="E4" s="33">
        <f>IF(C4="Done","Done",IF(D4="","No date",IF(D4&lt;TODAY(),"Late",IF(D4-TODAY()&lt;=3,"Urgent",IF(D4-TODAY()&lt;=7,"This week","Upcoming")))))</f>
        <v/>
      </c>
      <c r="F4" s="33" t="inlineStr"/>
      <c r="G4" s="33" t="inlineStr"/>
      <c r="H4" s="33" t="n"/>
      <c r="I4" s="33" t="n"/>
    </row>
    <row r="5">
      <c r="A5" s="33" t="inlineStr">
        <is>
          <t>ETL flow diagram</t>
        </is>
      </c>
      <c r="B5" s="33" t="inlineStr">
        <is>
          <t>Report + presentation</t>
        </is>
      </c>
      <c r="C5" s="33" t="inlineStr">
        <is>
          <t>Not started</t>
        </is>
      </c>
      <c r="D5" s="35" t="n">
        <v>46170</v>
      </c>
      <c r="E5" s="33">
        <f>IF(C5="Done","Done",IF(D5="","No date",IF(D5&lt;TODAY(),"Late",IF(D5-TODAY()&lt;=3,"Urgent",IF(D5-TODAY()&lt;=7,"This week","Upcoming")))))</f>
        <v/>
      </c>
      <c r="F5" s="33" t="inlineStr"/>
      <c r="G5" s="33" t="inlineStr"/>
      <c r="H5" s="33" t="n"/>
      <c r="I5" s="33" t="n"/>
    </row>
    <row r="6">
      <c r="A6" s="33" t="inlineStr">
        <is>
          <t>Database ER diagram</t>
        </is>
      </c>
      <c r="B6" s="33" t="inlineStr">
        <is>
          <t>Report</t>
        </is>
      </c>
      <c r="C6" s="33" t="inlineStr">
        <is>
          <t>Not started</t>
        </is>
      </c>
      <c r="D6" s="35" t="n">
        <v>46171</v>
      </c>
      <c r="E6" s="33">
        <f>IF(C6="Done","Done",IF(D6="","No date",IF(D6&lt;TODAY(),"Late",IF(D6-TODAY()&lt;=3,"Urgent",IF(D6-TODAY()&lt;=7,"This week","Upcoming")))))</f>
        <v/>
      </c>
      <c r="F6" s="33" t="inlineStr"/>
      <c r="G6" s="33" t="inlineStr"/>
      <c r="H6" s="33" t="n"/>
      <c r="I6" s="33" t="n"/>
    </row>
    <row r="7">
      <c r="A7" s="33" t="inlineStr">
        <is>
          <t>Mobile dashboard screenshot</t>
        </is>
      </c>
      <c r="B7" s="33" t="inlineStr">
        <is>
          <t>Report + presentation</t>
        </is>
      </c>
      <c r="C7" s="33" t="inlineStr">
        <is>
          <t>Not started</t>
        </is>
      </c>
      <c r="D7" s="35" t="n">
        <v>46167</v>
      </c>
      <c r="E7" s="33">
        <f>IF(C7="Done","Done",IF(D7="","No date",IF(D7&lt;TODAY(),"Late",IF(D7-TODAY()&lt;=3,"Urgent",IF(D7-TODAY()&lt;=7,"This week","Upcoming")))))</f>
        <v/>
      </c>
      <c r="F7" s="33" t="inlineStr"/>
      <c r="G7" s="33" t="inlineStr"/>
      <c r="H7" s="33" t="n"/>
      <c r="I7" s="33" t="n"/>
    </row>
    <row r="8">
      <c r="A8" s="33" t="inlineStr">
        <is>
          <t>Mobile map screenshot</t>
        </is>
      </c>
      <c r="B8" s="33" t="inlineStr">
        <is>
          <t>Report + presentation</t>
        </is>
      </c>
      <c r="C8" s="33" t="inlineStr">
        <is>
          <t>Not started</t>
        </is>
      </c>
      <c r="D8" s="35" t="n">
        <v>46167</v>
      </c>
      <c r="E8" s="33">
        <f>IF(C8="Done","Done",IF(D8="","No date",IF(D8&lt;TODAY(),"Late",IF(D8-TODAY()&lt;=3,"Urgent",IF(D8-TODAY()&lt;=7,"This week","Upcoming")))))</f>
        <v/>
      </c>
      <c r="F8" s="33" t="inlineStr"/>
      <c r="G8" s="33" t="inlineStr"/>
      <c r="H8" s="33" t="n"/>
      <c r="I8" s="33" t="n"/>
    </row>
    <row r="9">
      <c r="A9" s="33" t="inlineStr">
        <is>
          <t>Web validation dashboard screenshot</t>
        </is>
      </c>
      <c r="B9" s="33" t="inlineStr">
        <is>
          <t>Report + presentation</t>
        </is>
      </c>
      <c r="C9" s="33" t="inlineStr">
        <is>
          <t>Not started</t>
        </is>
      </c>
      <c r="D9" s="35" t="n">
        <v>46179</v>
      </c>
      <c r="E9" s="33">
        <f>IF(C9="Done","Done",IF(D9="","No date",IF(D9&lt;TODAY(),"Late",IF(D9-TODAY()&lt;=3,"Urgent",IF(D9-TODAY()&lt;=7,"This week","Upcoming")))))</f>
        <v/>
      </c>
      <c r="F9" s="33" t="inlineStr"/>
      <c r="G9" s="33" t="inlineStr"/>
      <c r="H9" s="33" t="n"/>
      <c r="I9" s="33" t="n"/>
    </row>
    <row r="10">
      <c r="A10" s="33" t="inlineStr">
        <is>
          <t>Merch monitoring dashboard screenshot</t>
        </is>
      </c>
      <c r="B10" s="33" t="inlineStr">
        <is>
          <t>Report + presentation</t>
        </is>
      </c>
      <c r="C10" s="33" t="inlineStr">
        <is>
          <t>Not started</t>
        </is>
      </c>
      <c r="D10" s="35" t="n">
        <v>46179</v>
      </c>
      <c r="E10" s="33">
        <f>IF(C10="Done","Done",IF(D10="","No date",IF(D10&lt;TODAY(),"Late",IF(D10-TODAY()&lt;=3,"Urgent",IF(D10-TODAY()&lt;=7,"This week","Upcoming")))))</f>
        <v/>
      </c>
      <c r="F10" s="33" t="inlineStr"/>
      <c r="G10" s="33" t="inlineStr"/>
      <c r="H10" s="33" t="n"/>
      <c r="I10" s="33" t="n"/>
    </row>
    <row r="11">
      <c r="A11" s="33" t="inlineStr">
        <is>
          <t>OSA prediction metrics screenshot/table</t>
        </is>
      </c>
      <c r="B11" s="33" t="inlineStr">
        <is>
          <t>Report + presentation</t>
        </is>
      </c>
      <c r="C11" s="33" t="inlineStr">
        <is>
          <t>Not started</t>
        </is>
      </c>
      <c r="D11" s="35" t="n">
        <v>46181</v>
      </c>
      <c r="E11" s="33">
        <f>IF(C11="Done","Done",IF(D11="","No date",IF(D11&lt;TODAY(),"Late",IF(D11-TODAY()&lt;=3,"Urgent",IF(D11-TODAY()&lt;=7,"This week","Upcoming")))))</f>
        <v/>
      </c>
      <c r="F11" s="33" t="inlineStr"/>
      <c r="G11" s="33" t="inlineStr"/>
      <c r="H11" s="33" t="n"/>
      <c r="I11" s="33" t="n"/>
    </row>
    <row r="12">
      <c r="A12" s="33" t="inlineStr">
        <is>
          <t>API JSON examples</t>
        </is>
      </c>
      <c r="B12" s="33" t="inlineStr">
        <is>
          <t>Annex</t>
        </is>
      </c>
      <c r="C12" s="33" t="inlineStr">
        <is>
          <t>Not started</t>
        </is>
      </c>
      <c r="D12" s="35" t="n">
        <v>46183</v>
      </c>
      <c r="E12" s="33">
        <f>IF(C12="Done","Done",IF(D12="","No date",IF(D12&lt;TODAY(),"Late",IF(D12-TODAY()&lt;=3,"Urgent",IF(D12-TODAY()&lt;=7,"This week","Upcoming")))))</f>
        <v/>
      </c>
      <c r="F12" s="33" t="inlineStr"/>
      <c r="G12" s="33" t="inlineStr"/>
      <c r="H12" s="33" t="n"/>
      <c r="I12" s="33" t="n"/>
    </row>
    <row r="13">
      <c r="A13" s="33" t="inlineStr">
        <is>
          <t>SQL validation examples</t>
        </is>
      </c>
      <c r="B13" s="33" t="inlineStr">
        <is>
          <t>Annex</t>
        </is>
      </c>
      <c r="C13" s="33" t="inlineStr">
        <is>
          <t>Not started</t>
        </is>
      </c>
      <c r="D13" s="35" t="n">
        <v>46183</v>
      </c>
      <c r="E13" s="33">
        <f>IF(C13="Done","Done",IF(D13="","No date",IF(D13&lt;TODAY(),"Late",IF(D13-TODAY()&lt;=3,"Urgent",IF(D13-TODAY()&lt;=7,"This week","Upcoming")))))</f>
        <v/>
      </c>
      <c r="F13" s="33" t="inlineStr"/>
      <c r="G13" s="33" t="inlineStr"/>
      <c r="H13" s="33" t="n"/>
      <c r="I13" s="33" t="n"/>
    </row>
    <row r="14">
      <c r="A14" s="33" t="inlineStr">
        <is>
          <t>Final demo script</t>
        </is>
      </c>
      <c r="B14" s="33" t="inlineStr">
        <is>
          <t>Defense</t>
        </is>
      </c>
      <c r="C14" s="33" t="inlineStr">
        <is>
          <t>Not started</t>
        </is>
      </c>
      <c r="D14" s="35" t="n">
        <v>46187</v>
      </c>
      <c r="E14" s="33">
        <f>IF(C14="Done","Done",IF(D14="","No date",IF(D14&lt;TODAY(),"Late",IF(D14-TODAY()&lt;=3,"Urgent",IF(D14-TODAY()&lt;=7,"This week","Upcoming")))))</f>
        <v/>
      </c>
      <c r="F14" s="33" t="inlineStr"/>
      <c r="G14" s="33" t="inlineStr"/>
      <c r="H14" s="33" t="n"/>
      <c r="I14" s="33" t="n"/>
    </row>
  </sheetData>
  <mergeCells count="2">
    <mergeCell ref="A2:H2"/>
    <mergeCell ref="A1:H1"/>
  </mergeCells>
  <conditionalFormatting sqref="C4:C100">
    <cfRule type="expression" priority="1" dxfId="0">
      <formula>$C4="Done"</formula>
    </cfRule>
    <cfRule type="expression" priority="2" dxfId="1">
      <formula>$C4="In progress"</formula>
    </cfRule>
    <cfRule type="expression" priority="3" dxfId="2">
      <formula>$C4="Blocked"</formula>
    </cfRule>
    <cfRule type="expression" priority="4" dxfId="2">
      <formula>$C4="Risk"</formula>
    </cfRule>
    <cfRule type="expression" priority="5" dxfId="3">
      <formula>$C4="To verify"</formula>
    </cfRule>
  </conditionalFormatting>
  <conditionalFormatting sqref="A4:H500">
    <cfRule type="expression" priority="6" dxfId="0">
      <formula>=$C4="Done"</formula>
    </cfRule>
    <cfRule type="expression" priority="7" dxfId="4">
      <formula>=$C4="In progress"</formula>
    </cfRule>
    <cfRule type="expression" priority="8" dxfId="2">
      <formula>=OR($C4="Blocked",$C4="Risk")</formula>
    </cfRule>
  </conditionalFormatting>
  <conditionalFormatting sqref="E4:E500">
    <cfRule type="expression" priority="9" dxfId="2">
      <formula>=$E4="Late"</formula>
    </cfRule>
    <cfRule type="expression" priority="10" dxfId="5">
      <formula>=$E4="Urgent"</formula>
    </cfRule>
    <cfRule type="expression" priority="11" dxfId="4">
      <formula>=$E4="This week"</formula>
    </cfRule>
    <cfRule type="expression" priority="12" dxfId="0">
      <formula>=$E4="Done"</formula>
    </cfRule>
  </conditionalFormatting>
  <dataValidations count="2">
    <dataValidation sqref="C4:C100" showDropDown="0" showInputMessage="0" showErrorMessage="0" allowBlank="1" type="list">
      <formula1>"Not started,In progress,To verify,Done,Blocked,Risk"</formula1>
    </dataValidation>
    <dataValidation sqref="C4:C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4" customWidth="1" min="3" max="3"/>
    <col width="16" customWidth="1" min="4" max="4"/>
    <col width="14" customWidth="1" min="5" max="5"/>
    <col width="16" customWidth="1" min="6" max="6"/>
    <col width="40" customWidth="1" min="7" max="7"/>
  </cols>
  <sheetData>
    <row r="1" ht="34" customHeight="1">
      <c r="A1" s="38" t="inlineStr">
        <is>
          <t>REPORT STRUCTURE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32" t="inlineStr">
        <is>
          <t>Use this to track writing progress chapter by chapter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</row>
    <row r="3" ht="28" customHeight="1">
      <c r="A3" s="40" t="inlineStr">
        <is>
          <t>Section</t>
        </is>
      </c>
      <c r="B3" s="40" t="inlineStr">
        <is>
          <t>Content</t>
        </is>
      </c>
      <c r="C3" s="40" t="inlineStr">
        <is>
          <t>Target Pages</t>
        </is>
      </c>
      <c r="D3" s="40" t="inlineStr">
        <is>
          <t>Status</t>
        </is>
      </c>
      <c r="E3" s="41" t="inlineStr">
        <is>
          <t>Deadline</t>
        </is>
      </c>
      <c r="F3" s="40" t="inlineStr">
        <is>
          <t>Deadline Health</t>
        </is>
      </c>
      <c r="G3" s="40" t="inlineStr">
        <is>
          <t>Notes</t>
        </is>
      </c>
      <c r="H3" s="33" t="n"/>
      <c r="I3" s="33" t="n"/>
    </row>
    <row r="4">
      <c r="A4" s="33" t="inlineStr">
        <is>
          <t>Page de garde</t>
        </is>
      </c>
      <c r="B4" s="33" t="inlineStr">
        <is>
          <t>Official BDIoT template</t>
        </is>
      </c>
      <c r="C4" s="33" t="inlineStr">
        <is>
          <t>1</t>
        </is>
      </c>
      <c r="D4" s="33" t="inlineStr">
        <is>
          <t>Not started</t>
        </is>
      </c>
      <c r="E4" s="35" t="n">
        <v>46180</v>
      </c>
      <c r="F4" s="33">
        <f>IF(D4="Done","Done",IF(E4="","No date",IF(E4&lt;TODAY(),"Late",IF(E4-TODAY()&lt;=3,"Urgent",IF(E4-TODAY()&lt;=7,"This week","Upcoming")))))</f>
        <v/>
      </c>
      <c r="G4" s="33" t="inlineStr"/>
      <c r="H4" s="33" t="n"/>
      <c r="I4" s="33" t="n"/>
    </row>
    <row r="5">
      <c r="A5" s="33" t="inlineStr">
        <is>
          <t>Remerciements</t>
        </is>
      </c>
      <c r="B5" s="33" t="inlineStr">
        <is>
          <t>Thanks to ENSAM, Smollan, supervisors</t>
        </is>
      </c>
      <c r="C5" s="33" t="inlineStr">
        <is>
          <t>1</t>
        </is>
      </c>
      <c r="D5" s="33" t="inlineStr">
        <is>
          <t>Not started</t>
        </is>
      </c>
      <c r="E5" s="35" t="n">
        <v>46180</v>
      </c>
      <c r="F5" s="33">
        <f>IF(D5="Done","Done",IF(E5="","No date",IF(E5&lt;TODAY(),"Late",IF(E5-TODAY()&lt;=3,"Urgent",IF(E5-TODAY()&lt;=7,"This week","Upcoming")))))</f>
        <v/>
      </c>
      <c r="G5" s="33" t="inlineStr"/>
      <c r="H5" s="33" t="n"/>
      <c r="I5" s="33" t="n"/>
    </row>
    <row r="6">
      <c r="A6" s="33" t="inlineStr">
        <is>
          <t>Resume trilingue</t>
        </is>
      </c>
      <c r="B6" s="33" t="inlineStr">
        <is>
          <t>Arabic, French, English abstracts and keywords</t>
        </is>
      </c>
      <c r="C6" s="33" t="inlineStr">
        <is>
          <t>1-2</t>
        </is>
      </c>
      <c r="D6" s="33" t="inlineStr">
        <is>
          <t>Not started</t>
        </is>
      </c>
      <c r="E6" s="35" t="n">
        <v>46180</v>
      </c>
      <c r="F6" s="33">
        <f>IF(D6="Done","Done",IF(E6="","No date",IF(E6&lt;TODAY(),"Late",IF(E6-TODAY()&lt;=3,"Urgent",IF(E6-TODAY()&lt;=7,"This week","Upcoming")))))</f>
        <v/>
      </c>
      <c r="G6" s="33" t="inlineStr"/>
      <c r="H6" s="33" t="n"/>
      <c r="I6" s="33" t="n"/>
    </row>
    <row r="7">
      <c r="A7" s="33" t="inlineStr">
        <is>
          <t>Introduction generale</t>
        </is>
      </c>
      <c r="B7" s="33" t="inlineStr">
        <is>
          <t>Context, motivation, objectives, methodology</t>
        </is>
      </c>
      <c r="C7" s="33" t="inlineStr">
        <is>
          <t>Max 4</t>
        </is>
      </c>
      <c r="D7" s="33" t="inlineStr">
        <is>
          <t>Not started</t>
        </is>
      </c>
      <c r="E7" s="35" t="n">
        <v>46172</v>
      </c>
      <c r="F7" s="33">
        <f>IF(D7="Done","Done",IF(E7="","No date",IF(E7&lt;TODAY(),"Late",IF(E7-TODAY()&lt;=3,"Urgent",IF(E7-TODAY()&lt;=7,"This week","Upcoming")))))</f>
        <v/>
      </c>
      <c r="G7" s="33" t="inlineStr"/>
      <c r="H7" s="33" t="n"/>
      <c r="I7" s="33" t="n"/>
    </row>
    <row r="8">
      <c r="A8" s="33" t="inlineStr">
        <is>
          <t>Chapitre 1</t>
        </is>
      </c>
      <c r="B8" s="33" t="inlineStr">
        <is>
          <t>Smollan, Unilever project, retail execution context</t>
        </is>
      </c>
      <c r="C8" s="33" t="inlineStr">
        <is>
          <t>5-10</t>
        </is>
      </c>
      <c r="D8" s="33" t="inlineStr">
        <is>
          <t>Not started</t>
        </is>
      </c>
      <c r="E8" s="35" t="n">
        <v>46173</v>
      </c>
      <c r="F8" s="33">
        <f>IF(D8="Done","Done",IF(E8="","No date",IF(E8&lt;TODAY(),"Late",IF(E8-TODAY()&lt;=3,"Urgent",IF(E8-TODAY()&lt;=7,"This week","Upcoming")))))</f>
        <v/>
      </c>
      <c r="G8" s="33" t="inlineStr"/>
      <c r="H8" s="33" t="n"/>
      <c r="I8" s="33" t="n"/>
    </row>
    <row r="9">
      <c r="A9" s="33" t="inlineStr">
        <is>
          <t>Chapitre 2</t>
        </is>
      </c>
      <c r="B9" s="33" t="inlineStr">
        <is>
          <t>Manual process, Excel exports, data quality problems</t>
        </is>
      </c>
      <c r="C9" s="33" t="inlineStr">
        <is>
          <t>5-10</t>
        </is>
      </c>
      <c r="D9" s="33" t="inlineStr">
        <is>
          <t>Not started</t>
        </is>
      </c>
      <c r="E9" s="35" t="n">
        <v>46174</v>
      </c>
      <c r="F9" s="33">
        <f>IF(D9="Done","Done",IF(E9="","No date",IF(E9&lt;TODAY(),"Late",IF(E9-TODAY()&lt;=3,"Urgent",IF(E9-TODAY()&lt;=7,"This week","Upcoming")))))</f>
        <v/>
      </c>
      <c r="G9" s="33" t="inlineStr"/>
      <c r="H9" s="33" t="n"/>
      <c r="I9" s="33" t="n"/>
    </row>
    <row r="10">
      <c r="A10" s="33" t="inlineStr">
        <is>
          <t>Chapitre 3</t>
        </is>
      </c>
      <c r="B10" s="33" t="inlineStr">
        <is>
          <t>Proposed solution, architecture, technology choices</t>
        </is>
      </c>
      <c r="C10" s="33" t="inlineStr">
        <is>
          <t>2-3</t>
        </is>
      </c>
      <c r="D10" s="33" t="inlineStr">
        <is>
          <t>Not started</t>
        </is>
      </c>
      <c r="E10" s="35" t="n">
        <v>46175</v>
      </c>
      <c r="F10" s="33">
        <f>IF(D10="Done","Done",IF(E10="","No date",IF(E10&lt;TODAY(),"Late",IF(E10-TODAY()&lt;=3,"Urgent",IF(E10-TODAY()&lt;=7,"This week","Upcoming")))))</f>
        <v/>
      </c>
      <c r="G10" s="33" t="inlineStr"/>
      <c r="H10" s="33" t="n"/>
      <c r="I10" s="33" t="n"/>
    </row>
    <row r="11">
      <c r="A11" s="33" t="inlineStr">
        <is>
          <t>Chapitre 4</t>
        </is>
      </c>
      <c r="B11" s="33" t="inlineStr">
        <is>
          <t>Design: database, ETL, API, validation, UI</t>
        </is>
      </c>
      <c r="C11" s="33" t="inlineStr">
        <is>
          <t>5-10</t>
        </is>
      </c>
      <c r="D11" s="33" t="inlineStr">
        <is>
          <t>Not started</t>
        </is>
      </c>
      <c r="E11" s="35" t="n">
        <v>46176</v>
      </c>
      <c r="F11" s="33">
        <f>IF(D11="Done","Done",IF(E11="","No date",IF(E11&lt;TODAY(),"Late",IF(E11-TODAY()&lt;=3,"Urgent",IF(E11-TODAY()&lt;=7,"This week","Upcoming")))))</f>
        <v/>
      </c>
      <c r="G11" s="33" t="inlineStr"/>
      <c r="H11" s="33" t="n"/>
      <c r="I11" s="33" t="n"/>
    </row>
    <row r="12">
      <c r="A12" s="33" t="inlineStr">
        <is>
          <t>Chapitre 5</t>
        </is>
      </c>
      <c r="B12" s="33" t="inlineStr">
        <is>
          <t>Implementation and screenshots</t>
        </is>
      </c>
      <c r="C12" s="33" t="inlineStr">
        <is>
          <t>2-5</t>
        </is>
      </c>
      <c r="D12" s="33" t="inlineStr">
        <is>
          <t>Not started</t>
        </is>
      </c>
      <c r="E12" s="35" t="n">
        <v>46178</v>
      </c>
      <c r="F12" s="33">
        <f>IF(D12="Done","Done",IF(E12="","No date",IF(E12&lt;TODAY(),"Late",IF(E12-TODAY()&lt;=3,"Urgent",IF(E12-TODAY()&lt;=7,"This week","Upcoming")))))</f>
        <v/>
      </c>
      <c r="G12" s="33" t="inlineStr"/>
      <c r="H12" s="33" t="n"/>
      <c r="I12" s="33" t="n"/>
    </row>
    <row r="13">
      <c r="A13" s="33" t="inlineStr">
        <is>
          <t>Chapitre 6</t>
        </is>
      </c>
      <c r="B13" s="33" t="inlineStr">
        <is>
          <t>Results, dashboards, validation, OSA prediction</t>
        </is>
      </c>
      <c r="C13" s="33" t="inlineStr">
        <is>
          <t>4-8</t>
        </is>
      </c>
      <c r="D13" s="33" t="inlineStr">
        <is>
          <t>Not started</t>
        </is>
      </c>
      <c r="E13" s="35" t="n">
        <v>46180</v>
      </c>
      <c r="F13" s="33">
        <f>IF(D13="Done","Done",IF(E13="","No date",IF(E13&lt;TODAY(),"Late",IF(E13-TODAY()&lt;=3,"Urgent",IF(E13-TODAY()&lt;=7,"This week","Upcoming")))))</f>
        <v/>
      </c>
      <c r="G13" s="33" t="inlineStr"/>
      <c r="H13" s="33" t="n"/>
      <c r="I13" s="33" t="n"/>
    </row>
    <row r="14">
      <c r="A14" s="33" t="inlineStr">
        <is>
          <t>Conclusion</t>
        </is>
      </c>
      <c r="B14" s="33" t="inlineStr">
        <is>
          <t>Achievements, limits, perspectives</t>
        </is>
      </c>
      <c r="C14" s="33" t="inlineStr">
        <is>
          <t>1-2</t>
        </is>
      </c>
      <c r="D14" s="33" t="inlineStr">
        <is>
          <t>Not started</t>
        </is>
      </c>
      <c r="E14" s="35" t="n">
        <v>46181</v>
      </c>
      <c r="F14" s="33">
        <f>IF(D14="Done","Done",IF(E14="","No date",IF(E14&lt;TODAY(),"Late",IF(E14-TODAY()&lt;=3,"Urgent",IF(E14-TODAY()&lt;=7,"This week","Upcoming")))))</f>
        <v/>
      </c>
      <c r="G14" s="33" t="inlineStr"/>
      <c r="H14" s="33" t="n"/>
      <c r="I14" s="33" t="n"/>
    </row>
    <row r="15">
      <c r="A15" s="33" t="inlineStr">
        <is>
          <t>Bibliography</t>
        </is>
      </c>
      <c r="B15" s="33" t="inlineStr">
        <is>
          <t>References</t>
        </is>
      </c>
      <c r="C15" s="33" t="inlineStr">
        <is>
          <t>1-3</t>
        </is>
      </c>
      <c r="D15" s="33" t="inlineStr">
        <is>
          <t>Not started</t>
        </is>
      </c>
      <c r="E15" s="35" t="n">
        <v>46181</v>
      </c>
      <c r="F15" s="33">
        <f>IF(D15="Done","Done",IF(E15="","No date",IF(E15&lt;TODAY(),"Late",IF(E15-TODAY()&lt;=3,"Urgent",IF(E15-TODAY()&lt;=7,"This week","Upcoming")))))</f>
        <v/>
      </c>
      <c r="G15" s="33" t="inlineStr"/>
      <c r="H15" s="33" t="n"/>
      <c r="I15" s="33" t="n"/>
    </row>
    <row r="16">
      <c r="A16" s="33" t="inlineStr">
        <is>
          <t>Annexes</t>
        </is>
      </c>
      <c r="B16" s="33" t="inlineStr">
        <is>
          <t>SQL, API, screenshots, setup guide</t>
        </is>
      </c>
      <c r="C16" s="33" t="inlineStr">
        <is>
          <t>As needed</t>
        </is>
      </c>
      <c r="D16" s="33" t="inlineStr">
        <is>
          <t>Not started</t>
        </is>
      </c>
      <c r="E16" s="35" t="n">
        <v>46183</v>
      </c>
      <c r="F16" s="33">
        <f>IF(D16="Done","Done",IF(E16="","No date",IF(E16&lt;TODAY(),"Late",IF(E16-TODAY()&lt;=3,"Urgent",IF(E16-TODAY()&lt;=7,"This week","Upcoming")))))</f>
        <v/>
      </c>
      <c r="G16" s="33" t="inlineStr"/>
      <c r="H16" s="33" t="n"/>
      <c r="I16" s="33" t="n"/>
    </row>
  </sheetData>
  <mergeCells count="2">
    <mergeCell ref="A2:H2"/>
    <mergeCell ref="A1:H1"/>
  </mergeCells>
  <conditionalFormatting sqref="D4:D100">
    <cfRule type="expression" priority="1" dxfId="0">
      <formula>$D4="Done"</formula>
    </cfRule>
    <cfRule type="expression" priority="2" dxfId="1">
      <formula>$D4="In progress"</formula>
    </cfRule>
    <cfRule type="expression" priority="3" dxfId="2">
      <formula>$D4="Blocked"</formula>
    </cfRule>
    <cfRule type="expression" priority="4" dxfId="2">
      <formula>$D4="Risk"</formula>
    </cfRule>
    <cfRule type="expression" priority="5" dxfId="3">
      <formula>$D4="To verify"</formula>
    </cfRule>
  </conditionalFormatting>
  <conditionalFormatting sqref="A4:H500">
    <cfRule type="expression" priority="6" dxfId="0">
      <formula>=$D4="Done"</formula>
    </cfRule>
    <cfRule type="expression" priority="7" dxfId="4">
      <formula>=$D4="In progress"</formula>
    </cfRule>
    <cfRule type="expression" priority="8" dxfId="2">
      <formula>=OR($D4="Blocked",$D4="Risk")</formula>
    </cfRule>
  </conditionalFormatting>
  <conditionalFormatting sqref="F4:F500">
    <cfRule type="expression" priority="9" dxfId="2">
      <formula>=$F4="Late"</formula>
    </cfRule>
    <cfRule type="expression" priority="10" dxfId="5">
      <formula>=$F4="Urgent"</formula>
    </cfRule>
    <cfRule type="expression" priority="11" dxfId="4">
      <formula>=$F4="This week"</formula>
    </cfRule>
    <cfRule type="expression" priority="12" dxfId="0">
      <formula>=$F4="Done"</formula>
    </cfRule>
  </conditionalFormatting>
  <dataValidations count="2">
    <dataValidation sqref="D4:D100" showDropDown="0" showInputMessage="0" showErrorMessage="0" allowBlank="1" type="list">
      <formula1>"Not started,In progress,To verify,Done,Blocked,Risk"</formula1>
    </dataValidation>
    <dataValidation sqref="D4:D500" showDropDown="0" showInputMessage="0" showErrorMessage="0" allowBlank="1" type="list">
      <formula1>=Lists!$A$2:$A$7</formula1>
    </dataValidation>
  </dataValidations>
  <pageMargins left="0.4" right="0.4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Deadline Health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Done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Late</t>
        </is>
      </c>
    </row>
    <row r="4">
      <c r="A4" t="inlineStr">
        <is>
          <t>To verify</t>
        </is>
      </c>
      <c r="B4" t="inlineStr">
        <is>
          <t>Medium</t>
        </is>
      </c>
      <c r="C4" t="inlineStr">
        <is>
          <t>Urgent</t>
        </is>
      </c>
    </row>
    <row r="5">
      <c r="A5" t="inlineStr">
        <is>
          <t>Done</t>
        </is>
      </c>
      <c r="B5" t="inlineStr">
        <is>
          <t>Low</t>
        </is>
      </c>
      <c r="C5" t="inlineStr">
        <is>
          <t>This week</t>
        </is>
      </c>
    </row>
    <row r="6">
      <c r="A6" t="inlineStr">
        <is>
          <t>Blocked</t>
        </is>
      </c>
      <c r="C6" t="inlineStr">
        <is>
          <t>Upcoming</t>
        </is>
      </c>
    </row>
    <row r="7">
      <c r="A7" t="inlineStr">
        <is>
          <t>Risk</t>
        </is>
      </c>
      <c r="C7" t="inlineStr">
        <is>
          <t>No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2026-05-11T11:22:53Z</dcterms:created>
  <dcterms:modified xsi:type="dcterms:W3CDTF">2026-05-11T11:33:45Z</dcterms:modified>
</cp:coreProperties>
</file>